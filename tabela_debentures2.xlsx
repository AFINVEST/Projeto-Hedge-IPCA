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Z:\Asset Management\Equipe\Emanuel\0.4-ScrapAnbima\"/>
    </mc:Choice>
  </mc:AlternateContent>
  <xr:revisionPtr revIDLastSave="0" documentId="13_ncr:1_{DAE760C7-7D69-4BDF-B558-6C6C68995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Sheet1!$A$1:$I$670</definedName>
  </definedNames>
  <calcPr calcId="181029" calcMode="manual"/>
</workbook>
</file>

<file path=xl/calcChain.xml><?xml version="1.0" encoding="utf-8"?>
<calcChain xmlns="http://schemas.openxmlformats.org/spreadsheetml/2006/main">
  <c r="N89" i="1" l="1"/>
  <c r="N87" i="1"/>
  <c r="AA92" i="1"/>
  <c r="AA91" i="1"/>
  <c r="AA90" i="1"/>
  <c r="AA89" i="1"/>
  <c r="AA88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O88" i="1"/>
  <c r="N88" i="1"/>
  <c r="O87" i="1"/>
  <c r="P87" i="1" l="1"/>
  <c r="S87" i="1" s="1"/>
  <c r="V88" i="1" s="1"/>
  <c r="P104" i="1"/>
  <c r="P98" i="1"/>
  <c r="S98" i="1" s="1"/>
  <c r="P91" i="1"/>
  <c r="S91" i="1" s="1"/>
  <c r="P95" i="1"/>
  <c r="S95" i="1" s="1"/>
  <c r="P97" i="1"/>
  <c r="S97" i="1" s="1"/>
  <c r="P99" i="1"/>
  <c r="S99" i="1" s="1"/>
  <c r="P101" i="1"/>
  <c r="S101" i="1" s="1"/>
  <c r="P103" i="1"/>
  <c r="S103" i="1" s="1"/>
  <c r="P88" i="1"/>
  <c r="S88" i="1" s="1"/>
  <c r="P102" i="1"/>
  <c r="P92" i="1"/>
  <c r="S92" i="1" s="1"/>
  <c r="P90" i="1"/>
  <c r="S90" i="1" s="1"/>
  <c r="P89" i="1"/>
  <c r="S89" i="1" s="1"/>
  <c r="P94" i="1"/>
  <c r="P96" i="1"/>
  <c r="S96" i="1" s="1"/>
  <c r="P93" i="1"/>
  <c r="S93" i="1" s="1"/>
  <c r="P100" i="1"/>
  <c r="M2" i="1"/>
  <c r="O14" i="1" s="1"/>
  <c r="V94" i="1" l="1"/>
  <c r="S94" i="1"/>
  <c r="V92" i="1" s="1"/>
  <c r="S100" i="1"/>
  <c r="V95" i="1" s="1"/>
  <c r="S102" i="1"/>
  <c r="V96" i="1" s="1"/>
  <c r="S104" i="1"/>
  <c r="V97" i="1" s="1"/>
  <c r="Y95" i="1" s="1"/>
  <c r="AA95" i="1" s="1"/>
  <c r="V89" i="1"/>
  <c r="V93" i="1"/>
  <c r="V90" i="1"/>
  <c r="V91" i="1"/>
  <c r="O3" i="1"/>
  <c r="N6" i="1"/>
  <c r="N9" i="1"/>
  <c r="O11" i="1"/>
  <c r="N4" i="1"/>
  <c r="N7" i="1"/>
  <c r="O9" i="1"/>
  <c r="N12" i="1"/>
  <c r="N2" i="1"/>
  <c r="N5" i="1"/>
  <c r="O7" i="1"/>
  <c r="N10" i="1"/>
  <c r="N13" i="1"/>
  <c r="N3" i="1"/>
  <c r="O5" i="1"/>
  <c r="N8" i="1"/>
  <c r="N11" i="1"/>
  <c r="O13" i="1"/>
  <c r="N14" i="1"/>
  <c r="P14" i="1" s="1"/>
  <c r="S14" i="1" s="1"/>
  <c r="X9" i="1" s="1"/>
  <c r="Z9" i="1" s="1"/>
  <c r="O2" i="1"/>
  <c r="O4" i="1"/>
  <c r="P4" i="1" s="1"/>
  <c r="S4" i="1" s="1"/>
  <c r="O6" i="1"/>
  <c r="O8" i="1"/>
  <c r="O10" i="1"/>
  <c r="O12" i="1"/>
  <c r="Y93" i="1" l="1"/>
  <c r="AA93" i="1" s="1"/>
  <c r="Y94" i="1"/>
  <c r="AA94" i="1" s="1"/>
  <c r="P8" i="1"/>
  <c r="S8" i="1" s="1"/>
  <c r="P3" i="1"/>
  <c r="S3" i="1" s="1"/>
  <c r="P6" i="1"/>
  <c r="S6" i="1" s="1"/>
  <c r="P5" i="1"/>
  <c r="S5" i="1" s="1"/>
  <c r="X4" i="1" s="1"/>
  <c r="Z4" i="1" s="1"/>
  <c r="P13" i="1"/>
  <c r="S13" i="1" s="1"/>
  <c r="P2" i="1"/>
  <c r="S2" i="1" s="1"/>
  <c r="P11" i="1"/>
  <c r="S11" i="1" s="1"/>
  <c r="P7" i="1"/>
  <c r="S7" i="1" s="1"/>
  <c r="P10" i="1"/>
  <c r="S10" i="1" s="1"/>
  <c r="P9" i="1"/>
  <c r="S9" i="1" s="1"/>
  <c r="P12" i="1"/>
  <c r="S12" i="1" s="1"/>
  <c r="X3" i="1" l="1"/>
  <c r="Z3" i="1" s="1"/>
  <c r="X8" i="1"/>
  <c r="Z8" i="1" s="1"/>
  <c r="X7" i="1"/>
  <c r="Z7" i="1" s="1"/>
  <c r="X6" i="1"/>
  <c r="Z6" i="1" s="1"/>
  <c r="X5" i="1"/>
  <c r="Z5" i="1" s="1"/>
  <c r="P671" i="1"/>
  <c r="S671" i="1"/>
</calcChain>
</file>

<file path=xl/sharedStrings.xml><?xml version="1.0" encoding="utf-8"?>
<sst xmlns="http://schemas.openxmlformats.org/spreadsheetml/2006/main" count="4744" uniqueCount="1758">
  <si>
    <t>Dados do evento</t>
  </si>
  <si>
    <t>Data de pagamento</t>
  </si>
  <si>
    <t>Prazos (dias úteis)</t>
  </si>
  <si>
    <t>Dias entre pagamentos</t>
  </si>
  <si>
    <t>Expectativa de juros (%)</t>
  </si>
  <si>
    <t>Juros projetados</t>
  </si>
  <si>
    <t>Amortizações</t>
  </si>
  <si>
    <t>Fluxo descontado (R$)</t>
  </si>
  <si>
    <t>Ativo</t>
  </si>
  <si>
    <t>Juros</t>
  </si>
  <si>
    <t>17/03/2025</t>
  </si>
  <si>
    <t>-</t>
  </si>
  <si>
    <t>42,202742</t>
  </si>
  <si>
    <t>0,00000000</t>
  </si>
  <si>
    <t>42,036551</t>
  </si>
  <si>
    <t>VERO13</t>
  </si>
  <si>
    <t>15/09/2025</t>
  </si>
  <si>
    <t>42,897257</t>
  </si>
  <si>
    <t>40,840177</t>
  </si>
  <si>
    <t>16/03/2026</t>
  </si>
  <si>
    <t>42,549944</t>
  </si>
  <si>
    <t>38,733305</t>
  </si>
  <si>
    <t>15/09/2026</t>
  </si>
  <si>
    <t>37,323878</t>
  </si>
  <si>
    <t>15/03/2027</t>
  </si>
  <si>
    <t>41,508671</t>
  </si>
  <si>
    <t>34,569323</t>
  </si>
  <si>
    <t>15/09/2027</t>
  </si>
  <si>
    <t>43,592217</t>
  </si>
  <si>
    <t>34,675372</t>
  </si>
  <si>
    <t>15/03/2028</t>
  </si>
  <si>
    <t>32,362244</t>
  </si>
  <si>
    <t>15/09/2028</t>
  </si>
  <si>
    <t>43,244681</t>
  </si>
  <si>
    <t>31,425937</t>
  </si>
  <si>
    <t>Juros|Amortização</t>
  </si>
  <si>
    <t>15/03/2029</t>
  </si>
  <si>
    <t>41,161802</t>
  </si>
  <si>
    <t>347,293312</t>
  </si>
  <si>
    <t>270,300572</t>
  </si>
  <si>
    <t>17/09/2029</t>
  </si>
  <si>
    <t>29,061492</t>
  </si>
  <si>
    <t>19,31453</t>
  </si>
  <si>
    <t>15/03/2030</t>
  </si>
  <si>
    <t>27,441214</t>
  </si>
  <si>
    <t>347,293833</t>
  </si>
  <si>
    <t>238,474057</t>
  </si>
  <si>
    <t>16/09/2030</t>
  </si>
  <si>
    <t>14,530746</t>
  </si>
  <si>
    <t>8,832118</t>
  </si>
  <si>
    <t>17/03/2031</t>
  </si>
  <si>
    <t>14,067587</t>
  </si>
  <si>
    <t>210,088354</t>
  </si>
  <si>
    <t>16/06/2025</t>
  </si>
  <si>
    <t>37,895203</t>
  </si>
  <si>
    <t>36,737751</t>
  </si>
  <si>
    <t>VAMO33</t>
  </si>
  <si>
    <t>15/12/2025</t>
  </si>
  <si>
    <t>39,459914</t>
  </si>
  <si>
    <t>36,229548</t>
  </si>
  <si>
    <t>15/06/2026</t>
  </si>
  <si>
    <t>37,58249</t>
  </si>
  <si>
    <t>32,762577</t>
  </si>
  <si>
    <t>15/12/2026</t>
  </si>
  <si>
    <t>39,146818</t>
  </si>
  <si>
    <t>32,333444</t>
  </si>
  <si>
    <t>15/06/2027</t>
  </si>
  <si>
    <t>29,705776</t>
  </si>
  <si>
    <t>15/12/2027</t>
  </si>
  <si>
    <t>29,074759</t>
  </si>
  <si>
    <t>16/06/2028</t>
  </si>
  <si>
    <t>38,8338</t>
  </si>
  <si>
    <t>27,338652</t>
  </si>
  <si>
    <t>15/12/2028</t>
  </si>
  <si>
    <t>38,520858</t>
  </si>
  <si>
    <t>25,715516</t>
  </si>
  <si>
    <t>15/06/2029</t>
  </si>
  <si>
    <t>413,403013</t>
  </si>
  <si>
    <t>285,932867</t>
  </si>
  <si>
    <t>17/12/2029</t>
  </si>
  <si>
    <t>25,889212</t>
  </si>
  <si>
    <t>15,547724</t>
  </si>
  <si>
    <t>17/06/2030</t>
  </si>
  <si>
    <t>25,472006</t>
  </si>
  <si>
    <t>413,403633</t>
  </si>
  <si>
    <t>250,038051</t>
  </si>
  <si>
    <t>16/12/2030</t>
  </si>
  <si>
    <t>13,048945</t>
  </si>
  <si>
    <t>7,043735</t>
  </si>
  <si>
    <t>16/06/2031</t>
  </si>
  <si>
    <t>12,527502</t>
  </si>
  <si>
    <t>218,299493</t>
  </si>
  <si>
    <t>14,10</t>
  </si>
  <si>
    <t>77,746767</t>
  </si>
  <si>
    <t>73,953534</t>
  </si>
  <si>
    <t>VAMO23</t>
  </si>
  <si>
    <t>14,55</t>
  </si>
  <si>
    <t>87,540355</t>
  </si>
  <si>
    <t>76,038067</t>
  </si>
  <si>
    <t>14,61</t>
  </si>
  <si>
    <t>82,820606</t>
  </si>
  <si>
    <t>65,99898</t>
  </si>
  <si>
    <t>14,48</t>
  </si>
  <si>
    <t>83,686769</t>
  </si>
  <si>
    <t>61,117685</t>
  </si>
  <si>
    <t>14,40</t>
  </si>
  <si>
    <t>80,75184</t>
  </si>
  <si>
    <t>54,205781</t>
  </si>
  <si>
    <t>14,35</t>
  </si>
  <si>
    <t>83,565461</t>
  </si>
  <si>
    <t>51,413821</t>
  </si>
  <si>
    <t>14,36</t>
  </si>
  <si>
    <t>84,260115</t>
  </si>
  <si>
    <t>47,487597</t>
  </si>
  <si>
    <t>14,39</t>
  </si>
  <si>
    <t>84,375947</t>
  </si>
  <si>
    <t>43,557103</t>
  </si>
  <si>
    <t>14,42</t>
  </si>
  <si>
    <t>83,265595</t>
  </si>
  <si>
    <t>333,333</t>
  </si>
  <si>
    <t>197,211503</t>
  </si>
  <si>
    <t>14,47</t>
  </si>
  <si>
    <t>57,692842</t>
  </si>
  <si>
    <t>24,964882</t>
  </si>
  <si>
    <t>14,50</t>
  </si>
  <si>
    <t>56,409626</t>
  </si>
  <si>
    <t>333,3335</t>
  </si>
  <si>
    <t>154,452964</t>
  </si>
  <si>
    <t>14,52</t>
  </si>
  <si>
    <t>28,817329</t>
  </si>
  <si>
    <t>10,439411</t>
  </si>
  <si>
    <t>14,54</t>
  </si>
  <si>
    <t>27,712305</t>
  </si>
  <si>
    <t>119,959277</t>
  </si>
  <si>
    <t>15/04/2025</t>
  </si>
  <si>
    <t>27,500454</t>
  </si>
  <si>
    <t>27,260602</t>
  </si>
  <si>
    <t>VALEC0</t>
  </si>
  <si>
    <t>15/10/2025</t>
  </si>
  <si>
    <t>32,414814</t>
  </si>
  <si>
    <t>31,034186</t>
  </si>
  <si>
    <t>15/04/2026</t>
  </si>
  <si>
    <t>31,637329</t>
  </si>
  <si>
    <t>29,278885</t>
  </si>
  <si>
    <t>15/10/2026</t>
  </si>
  <si>
    <t>32,155589</t>
  </si>
  <si>
    <t>28,749567</t>
  </si>
  <si>
    <t>15/04/2027</t>
  </si>
  <si>
    <t>31,378295</t>
  </si>
  <si>
    <t>27,125701</t>
  </si>
  <si>
    <t>15/10/2027</t>
  </si>
  <si>
    <t>27,064275</t>
  </si>
  <si>
    <t>17/04/2028</t>
  </si>
  <si>
    <t>25,937581</t>
  </si>
  <si>
    <t>16/10/2028</t>
  </si>
  <si>
    <t>31,896427</t>
  </si>
  <si>
    <t>24,86303</t>
  </si>
  <si>
    <t>16/04/2029</t>
  </si>
  <si>
    <t>31,119325</t>
  </si>
  <si>
    <t>23,460532</t>
  </si>
  <si>
    <t>15/10/2029</t>
  </si>
  <si>
    <t>23,419859</t>
  </si>
  <si>
    <t>15/04/2030</t>
  </si>
  <si>
    <t>22,097032</t>
  </si>
  <si>
    <t>15/10/2030</t>
  </si>
  <si>
    <t>32,674104</t>
  </si>
  <si>
    <t>22,217267</t>
  </si>
  <si>
    <t>15/04/2031</t>
  </si>
  <si>
    <t>20,629708</t>
  </si>
  <si>
    <t>15/10/2031</t>
  </si>
  <si>
    <t>20,741959</t>
  </si>
  <si>
    <t>15/04/2032</t>
  </si>
  <si>
    <t>19,56713</t>
  </si>
  <si>
    <t>15/10/2032</t>
  </si>
  <si>
    <t>19,205688</t>
  </si>
  <si>
    <t>18/04/2033</t>
  </si>
  <si>
    <t>18,406149</t>
  </si>
  <si>
    <t>17/10/2033</t>
  </si>
  <si>
    <t>17,7821</t>
  </si>
  <si>
    <t>17/04/2034</t>
  </si>
  <si>
    <t>17,045417</t>
  </si>
  <si>
    <t>16/10/2034</t>
  </si>
  <si>
    <t>16,472012</t>
  </si>
  <si>
    <t>16/04/2035</t>
  </si>
  <si>
    <t>15,542843</t>
  </si>
  <si>
    <t>15/10/2035</t>
  </si>
  <si>
    <t>15,515897</t>
  </si>
  <si>
    <t>15/04/2036</t>
  </si>
  <si>
    <t>14,63951</t>
  </si>
  <si>
    <t>15/10/2036</t>
  </si>
  <si>
    <t>14,719167</t>
  </si>
  <si>
    <t>15/04/2037</t>
  </si>
  <si>
    <t>13,776448</t>
  </si>
  <si>
    <t>15/10/2037</t>
  </si>
  <si>
    <t>13,527391</t>
  </si>
  <si>
    <t>15/04/2038</t>
  </si>
  <si>
    <t>12,865163</t>
  </si>
  <si>
    <t>15/10/2038</t>
  </si>
  <si>
    <t>12,63258</t>
  </si>
  <si>
    <t>15/04/2039</t>
  </si>
  <si>
    <t>12,109233</t>
  </si>
  <si>
    <t>17/10/2039</t>
  </si>
  <si>
    <t>1.017,51264</t>
  </si>
  <si>
    <t>384,977337</t>
  </si>
  <si>
    <t>25/03/2025</t>
  </si>
  <si>
    <t>57,319024</t>
  </si>
  <si>
    <t>25,125491</t>
  </si>
  <si>
    <t>81,91713</t>
  </si>
  <si>
    <t>TBCR18</t>
  </si>
  <si>
    <t>25/09/2025</t>
  </si>
  <si>
    <t>58,46198</t>
  </si>
  <si>
    <t>25,126379</t>
  </si>
  <si>
    <t>79,135986</t>
  </si>
  <si>
    <t>25/03/2026</t>
  </si>
  <si>
    <t>55,387854</t>
  </si>
  <si>
    <t>25,125741</t>
  </si>
  <si>
    <t>72,739191</t>
  </si>
  <si>
    <t>25/09/2026</t>
  </si>
  <si>
    <t>55,526356</t>
  </si>
  <si>
    <t>25,125643</t>
  </si>
  <si>
    <t>69,453411</t>
  </si>
  <si>
    <t>25/03/2027</t>
  </si>
  <si>
    <t>52,10537</t>
  </si>
  <si>
    <t>50,252305</t>
  </si>
  <si>
    <t>84,177839</t>
  </si>
  <si>
    <t>27/09/2027</t>
  </si>
  <si>
    <t>52,242592</t>
  </si>
  <si>
    <t>50,251729</t>
  </si>
  <si>
    <t>80,314215</t>
  </si>
  <si>
    <t>27/03/2028</t>
  </si>
  <si>
    <t>48,561</t>
  </si>
  <si>
    <t>62,814726</t>
  </si>
  <si>
    <t>83,251152</t>
  </si>
  <si>
    <t>25/09/2028</t>
  </si>
  <si>
    <t>45,525937</t>
  </si>
  <si>
    <t>62,81504</t>
  </si>
  <si>
    <t>77,250186</t>
  </si>
  <si>
    <t>26/03/2029</t>
  </si>
  <si>
    <t>41,44742</t>
  </si>
  <si>
    <t>69,095798</t>
  </si>
  <si>
    <t>75,272754</t>
  </si>
  <si>
    <t>25/09/2029</t>
  </si>
  <si>
    <t>39,793885</t>
  </si>
  <si>
    <t>75,377473</t>
  </si>
  <si>
    <t>74,753131</t>
  </si>
  <si>
    <t>25/03/2030</t>
  </si>
  <si>
    <t>34,347773</t>
  </si>
  <si>
    <t>87,940564</t>
  </si>
  <si>
    <t>75,828558</t>
  </si>
  <si>
    <t>25/09/2030</t>
  </si>
  <si>
    <t>32,286078</t>
  </si>
  <si>
    <t>129,398406</t>
  </si>
  <si>
    <t>95,492094</t>
  </si>
  <si>
    <t>25/03/2031</t>
  </si>
  <si>
    <t>24,599424</t>
  </si>
  <si>
    <t>86,825771</t>
  </si>
  <si>
    <t>25/09/2031</t>
  </si>
  <si>
    <t>19,217821</t>
  </si>
  <si>
    <t>130,045398</t>
  </si>
  <si>
    <t>80,186656</t>
  </si>
  <si>
    <t>25/03/2032</t>
  </si>
  <si>
    <t>12,473202</t>
  </si>
  <si>
    <t>129,074911</t>
  </si>
  <si>
    <t>72,537147</t>
  </si>
  <si>
    <t>27/09/2032</t>
  </si>
  <si>
    <t>6,389925</t>
  </si>
  <si>
    <t>129,074912</t>
  </si>
  <si>
    <t>66,145183</t>
  </si>
  <si>
    <t>15/07/2025</t>
  </si>
  <si>
    <t>0,346306</t>
  </si>
  <si>
    <t>RISP12</t>
  </si>
  <si>
    <t>15/01/2026</t>
  </si>
  <si>
    <t>0,351283</t>
  </si>
  <si>
    <t>15/07/2026</t>
  </si>
  <si>
    <t>0,323953</t>
  </si>
  <si>
    <t>15/01/2027</t>
  </si>
  <si>
    <t>0,321094</t>
  </si>
  <si>
    <t>15/07/2027</t>
  </si>
  <si>
    <t>0,331838</t>
  </si>
  <si>
    <t>0,589178</t>
  </si>
  <si>
    <t>17/01/2028</t>
  </si>
  <si>
    <t>0,331843</t>
  </si>
  <si>
    <t>0,569799</t>
  </si>
  <si>
    <t>17/07/2028</t>
  </si>
  <si>
    <t>0,266819</t>
  </si>
  <si>
    <t>0,481491</t>
  </si>
  <si>
    <t>15/01/2029</t>
  </si>
  <si>
    <t>0,26682</t>
  </si>
  <si>
    <t>0,457102</t>
  </si>
  <si>
    <t>16/07/2029</t>
  </si>
  <si>
    <t>0,668172</t>
  </si>
  <si>
    <t>0,73985</t>
  </si>
  <si>
    <t>15/01/2030</t>
  </si>
  <si>
    <t>0,668168</t>
  </si>
  <si>
    <t>0,697914</t>
  </si>
  <si>
    <t>15/07/2030</t>
  </si>
  <si>
    <t>0,822881</t>
  </si>
  <si>
    <t>0,76816</t>
  </si>
  <si>
    <t>15/01/2031</t>
  </si>
  <si>
    <t>0,82288</t>
  </si>
  <si>
    <t>0,72942</t>
  </si>
  <si>
    <t>15/07/2031</t>
  </si>
  <si>
    <t>1,038127</t>
  </si>
  <si>
    <t>0,822713</t>
  </si>
  <si>
    <t>15/01/2032</t>
  </si>
  <si>
    <t>1,03813</t>
  </si>
  <si>
    <t>0,779042</t>
  </si>
  <si>
    <t>15/07/2032</t>
  </si>
  <si>
    <t>1,116605</t>
  </si>
  <si>
    <t>0,776676</t>
  </si>
  <si>
    <t>17/01/2033</t>
  </si>
  <si>
    <t>1,116607</t>
  </si>
  <si>
    <t>0,730158</t>
  </si>
  <si>
    <t>15/07/2033</t>
  </si>
  <si>
    <t>0,683097</t>
  </si>
  <si>
    <t>16/01/2034</t>
  </si>
  <si>
    <t>0,640351</t>
  </si>
  <si>
    <t>47,149997</t>
  </si>
  <si>
    <t>46,944993</t>
  </si>
  <si>
    <t>JSMLB5</t>
  </si>
  <si>
    <t>47,925149</t>
  </si>
  <si>
    <t>45,393603</t>
  </si>
  <si>
    <t>47,537514</t>
  </si>
  <si>
    <t>42,851227</t>
  </si>
  <si>
    <t>41,097353</t>
  </si>
  <si>
    <t>46,375315</t>
  </si>
  <si>
    <t>37,892125</t>
  </si>
  <si>
    <t>48,700774</t>
  </si>
  <si>
    <t>37,824872</t>
  </si>
  <si>
    <t>35,137728</t>
  </si>
  <si>
    <t>48,312905</t>
  </si>
  <si>
    <t>33,958766</t>
  </si>
  <si>
    <t>45,988151</t>
  </si>
  <si>
    <t>30,811898</t>
  </si>
  <si>
    <t>408,829327</t>
  </si>
  <si>
    <t>291,38802</t>
  </si>
  <si>
    <t>30,658782</t>
  </si>
  <si>
    <t>18,611898</t>
  </si>
  <si>
    <t>32,467199</t>
  </si>
  <si>
    <t>408,829941</t>
  </si>
  <si>
    <t>254,65159</t>
  </si>
  <si>
    <t>15,716673</t>
  </si>
  <si>
    <t>8,634626</t>
  </si>
  <si>
    <t>15/09/2031</t>
  </si>
  <si>
    <t>15,975057</t>
  </si>
  <si>
    <t>222,022057</t>
  </si>
  <si>
    <t>33,309306</t>
  </si>
  <si>
    <t>32,995202</t>
  </si>
  <si>
    <t>GASC23</t>
  </si>
  <si>
    <t>34,126541</t>
  </si>
  <si>
    <t>32,557189</t>
  </si>
  <si>
    <t>30,632003</t>
  </si>
  <si>
    <t>33,85407</t>
  </si>
  <si>
    <t>29,992917</t>
  </si>
  <si>
    <t>33,037014</t>
  </si>
  <si>
    <t>28,222299</t>
  </si>
  <si>
    <t>28,077167</t>
  </si>
  <si>
    <t>26,833042</t>
  </si>
  <si>
    <t>33,581658</t>
  </si>
  <si>
    <t>25,650023</t>
  </si>
  <si>
    <t>32,764783</t>
  </si>
  <si>
    <t>24,138222</t>
  </si>
  <si>
    <t>24,027406</t>
  </si>
  <si>
    <t>22,608959</t>
  </si>
  <si>
    <t>34,399073</t>
  </si>
  <si>
    <t>22,665607</t>
  </si>
  <si>
    <t>20,989649</t>
  </si>
  <si>
    <t>21,042239</t>
  </si>
  <si>
    <t>19,795841</t>
  </si>
  <si>
    <t>19,374634</t>
  </si>
  <si>
    <t>18,516126</t>
  </si>
  <si>
    <t>1.198,68493</t>
  </si>
  <si>
    <t>649,438365</t>
  </si>
  <si>
    <t>15/08/2025</t>
  </si>
  <si>
    <t>39,617883</t>
  </si>
  <si>
    <t>38,335474</t>
  </si>
  <si>
    <t>PEJA11</t>
  </si>
  <si>
    <t>18/02/2026</t>
  </si>
  <si>
    <t>41,257788</t>
  </si>
  <si>
    <t>38,498762</t>
  </si>
  <si>
    <t>17/08/2026</t>
  </si>
  <si>
    <t>39,945678</t>
  </si>
  <si>
    <t>35,986089</t>
  </si>
  <si>
    <t>15/02/2027</t>
  </si>
  <si>
    <t>39,290181</t>
  </si>
  <si>
    <t>34,19159</t>
  </si>
  <si>
    <t>16/08/2027</t>
  </si>
  <si>
    <t>40,929621</t>
  </si>
  <si>
    <t>185,966413</t>
  </si>
  <si>
    <t>190,465633</t>
  </si>
  <si>
    <t>15/02/2028</t>
  </si>
  <si>
    <t>34,108003</t>
  </si>
  <si>
    <t>27,618523</t>
  </si>
  <si>
    <t>15/08/2028</t>
  </si>
  <si>
    <t>33,288051</t>
  </si>
  <si>
    <t>185,965967</t>
  </si>
  <si>
    <t>171,40195</t>
  </si>
  <si>
    <t>15/02/2029</t>
  </si>
  <si>
    <t>26,411911</t>
  </si>
  <si>
    <t>19,939545</t>
  </si>
  <si>
    <t>15/08/2029</t>
  </si>
  <si>
    <t>27,067686</t>
  </si>
  <si>
    <t>155,181975</t>
  </si>
  <si>
    <t>15/02/2030</t>
  </si>
  <si>
    <t>20,136774</t>
  </si>
  <si>
    <t>14,157409</t>
  </si>
  <si>
    <t>15/08/2030</t>
  </si>
  <si>
    <t>19,97283</t>
  </si>
  <si>
    <t>185,96578</t>
  </si>
  <si>
    <t>139,783433</t>
  </si>
  <si>
    <t>17/02/2031</t>
  </si>
  <si>
    <t>13,752597</t>
  </si>
  <si>
    <t>9,001894</t>
  </si>
  <si>
    <t>15/08/2031</t>
  </si>
  <si>
    <t>13,205961</t>
  </si>
  <si>
    <t>185,966059</t>
  </si>
  <si>
    <t>125,89971</t>
  </si>
  <si>
    <t>16/02/2032</t>
  </si>
  <si>
    <t>6,766924</t>
  </si>
  <si>
    <t>4,127293</t>
  </si>
  <si>
    <t>16/08/2032</t>
  </si>
  <si>
    <t>6,821603</t>
  </si>
  <si>
    <t>185,966061</t>
  </si>
  <si>
    <t>113,424724</t>
  </si>
  <si>
    <t>14,31</t>
  </si>
  <si>
    <t>77,777613</t>
  </si>
  <si>
    <t>72,453712</t>
  </si>
  <si>
    <t>PEJA21</t>
  </si>
  <si>
    <t>14,62</t>
  </si>
  <si>
    <t>84,22243</t>
  </si>
  <si>
    <t>72,362808</t>
  </si>
  <si>
    <t>14,56</t>
  </si>
  <si>
    <t>79,355145</t>
  </si>
  <si>
    <t>63,16818</t>
  </si>
  <si>
    <t>14,45</t>
  </si>
  <si>
    <t>76,551593</t>
  </si>
  <si>
    <t>56,603419</t>
  </si>
  <si>
    <t>14,38</t>
  </si>
  <si>
    <t>79,770412</t>
  </si>
  <si>
    <t>1.000,00</t>
  </si>
  <si>
    <t>739,415299</t>
  </si>
  <si>
    <t>47,128354</t>
  </si>
  <si>
    <t>124,59183</t>
  </si>
  <si>
    <t>168,180958</t>
  </si>
  <si>
    <t>NEOE26</t>
  </si>
  <si>
    <t>41,72153</t>
  </si>
  <si>
    <t>124,591969</t>
  </si>
  <si>
    <t>151,673109</t>
  </si>
  <si>
    <t>36,506339</t>
  </si>
  <si>
    <t>124,591845</t>
  </si>
  <si>
    <t>136,803544</t>
  </si>
  <si>
    <t>31,674492</t>
  </si>
  <si>
    <t>124,592239</t>
  </si>
  <si>
    <t>123,460249</t>
  </si>
  <si>
    <t>25,86307</t>
  </si>
  <si>
    <t>124,591941</t>
  </si>
  <si>
    <t>110,749222</t>
  </si>
  <si>
    <t>20,86076</t>
  </si>
  <si>
    <t>99,696849</t>
  </si>
  <si>
    <t>15,5817</t>
  </si>
  <si>
    <t>124,591816</t>
  </si>
  <si>
    <t>89,490126</t>
  </si>
  <si>
    <t>15/06/2032</t>
  </si>
  <si>
    <t>10,558165</t>
  </si>
  <si>
    <t>124,592004</t>
  </si>
  <si>
    <t>80,27488</t>
  </si>
  <si>
    <t>15/06/2033</t>
  </si>
  <si>
    <t>5,279082</t>
  </si>
  <si>
    <t>124,592005</t>
  </si>
  <si>
    <t>71,767772</t>
  </si>
  <si>
    <t>44,779268</t>
  </si>
  <si>
    <t>44,635654</t>
  </si>
  <si>
    <t>MOVI37</t>
  </si>
  <si>
    <t>45,514884</t>
  </si>
  <si>
    <t>43,729889</t>
  </si>
  <si>
    <t>45,147021</t>
  </si>
  <si>
    <t>41,821622</t>
  </si>
  <si>
    <t>40,639207</t>
  </si>
  <si>
    <t>44,044081</t>
  </si>
  <si>
    <t>37,949552</t>
  </si>
  <si>
    <t>46,250931</t>
  </si>
  <si>
    <t>38,388924</t>
  </si>
  <si>
    <t>36,129454</t>
  </si>
  <si>
    <t>45,882854</t>
  </si>
  <si>
    <t>35,381474</t>
  </si>
  <si>
    <t>43,676648</t>
  </si>
  <si>
    <t>32,510896</t>
  </si>
  <si>
    <t>404,785735</t>
  </si>
  <si>
    <t>323,413282</t>
  </si>
  <si>
    <t>29,117779</t>
  </si>
  <si>
    <t>20,153867</t>
  </si>
  <si>
    <t>30,833968</t>
  </si>
  <si>
    <t>404,786342</t>
  </si>
  <si>
    <t>290,452172</t>
  </si>
  <si>
    <t>14,926429</t>
  </si>
  <si>
    <t>9,598339</t>
  </si>
  <si>
    <t>15,171635</t>
  </si>
  <si>
    <t>260,295118</t>
  </si>
  <si>
    <t>15/05/2025</t>
  </si>
  <si>
    <t>32,163719</t>
  </si>
  <si>
    <t>14,129192</t>
  </si>
  <si>
    <t>45,729803</t>
  </si>
  <si>
    <t>MSGT33</t>
  </si>
  <si>
    <t>17/11/2025</t>
  </si>
  <si>
    <t>34,70744</t>
  </si>
  <si>
    <t>14,129352</t>
  </si>
  <si>
    <t>46,749752</t>
  </si>
  <si>
    <t>15/05/2026</t>
  </si>
  <si>
    <t>31,603097</t>
  </si>
  <si>
    <t>14,129081</t>
  </si>
  <si>
    <t>42,524929</t>
  </si>
  <si>
    <t>16/11/2026</t>
  </si>
  <si>
    <t>32,756965</t>
  </si>
  <si>
    <t>18,839739</t>
  </si>
  <si>
    <t>46,538019</t>
  </si>
  <si>
    <t>17/05/2027</t>
  </si>
  <si>
    <t>31,145578</t>
  </si>
  <si>
    <t>6,476238</t>
  </si>
  <si>
    <t>32,94631</t>
  </si>
  <si>
    <t>16/11/2027</t>
  </si>
  <si>
    <t>31,71796</t>
  </si>
  <si>
    <t>1,177864</t>
  </si>
  <si>
    <t>27,949641</t>
  </si>
  <si>
    <t>15/05/2028</t>
  </si>
  <si>
    <t>31,171397</t>
  </si>
  <si>
    <t>0,352956</t>
  </si>
  <si>
    <t>25,999112</t>
  </si>
  <si>
    <t>16/11/2028</t>
  </si>
  <si>
    <t>32,18144</t>
  </si>
  <si>
    <t>0,235223</t>
  </si>
  <si>
    <t>25,926306</t>
  </si>
  <si>
    <t>15/05/2029</t>
  </si>
  <si>
    <t>30,388921</t>
  </si>
  <si>
    <t>1,177914</t>
  </si>
  <si>
    <t>24,52409</t>
  </si>
  <si>
    <t>16/11/2029</t>
  </si>
  <si>
    <t>32,13736</t>
  </si>
  <si>
    <t>0,588284</t>
  </si>
  <si>
    <t>24,655287</t>
  </si>
  <si>
    <t>15/05/2030</t>
  </si>
  <si>
    <t>30,336884</t>
  </si>
  <si>
    <t>1,177956</t>
  </si>
  <si>
    <t>23,063568</t>
  </si>
  <si>
    <t>18/11/2030</t>
  </si>
  <si>
    <t>32,846077</t>
  </si>
  <si>
    <t>5,887162</t>
  </si>
  <si>
    <t>27,468981</t>
  </si>
  <si>
    <t>15/05/2031</t>
  </si>
  <si>
    <t>29,87613</t>
  </si>
  <si>
    <t>4,710177</t>
  </si>
  <si>
    <t>23,831791</t>
  </si>
  <si>
    <t>17/11/2031</t>
  </si>
  <si>
    <t>32,507643</t>
  </si>
  <si>
    <t>16,483998</t>
  </si>
  <si>
    <t>32,713109</t>
  </si>
  <si>
    <t>17/05/2032</t>
  </si>
  <si>
    <t>29,999206</t>
  </si>
  <si>
    <t>14,717924</t>
  </si>
  <si>
    <t>28,990443</t>
  </si>
  <si>
    <t>16/11/2032</t>
  </si>
  <si>
    <t>30,290198</t>
  </si>
  <si>
    <t>5,887673</t>
  </si>
  <si>
    <t>22,755814</t>
  </si>
  <si>
    <t>16/05/2033</t>
  </si>
  <si>
    <t>29,86689</t>
  </si>
  <si>
    <t>5,88687</t>
  </si>
  <si>
    <t>21,824472</t>
  </si>
  <si>
    <t>16/11/2033</t>
  </si>
  <si>
    <t>30,169908</t>
  </si>
  <si>
    <t>5,887609</t>
  </si>
  <si>
    <t>21,349222</t>
  </si>
  <si>
    <t>15/05/2034</t>
  </si>
  <si>
    <t>29,02921</t>
  </si>
  <si>
    <t>5,886939</t>
  </si>
  <si>
    <t>20,07214</t>
  </si>
  <si>
    <t>16/11/2034</t>
  </si>
  <si>
    <t>30,043848</t>
  </si>
  <si>
    <t>5,886813</t>
  </si>
  <si>
    <t>20,030534</t>
  </si>
  <si>
    <t>15/05/2035</t>
  </si>
  <si>
    <t>28,203423</t>
  </si>
  <si>
    <t>11,892164</t>
  </si>
  <si>
    <t>21,71268</t>
  </si>
  <si>
    <t>16/11/2035</t>
  </si>
  <si>
    <t>29,489266</t>
  </si>
  <si>
    <t>11,891906</t>
  </si>
  <si>
    <t>21,730997</t>
  </si>
  <si>
    <t>15/05/2036</t>
  </si>
  <si>
    <t>27,502688</t>
  </si>
  <si>
    <t>11,892609</t>
  </si>
  <si>
    <t>20,096053</t>
  </si>
  <si>
    <t>17/11/2036</t>
  </si>
  <si>
    <t>29,431767</t>
  </si>
  <si>
    <t>11,892238</t>
  </si>
  <si>
    <t>20,427543</t>
  </si>
  <si>
    <t>15/05/2037</t>
  </si>
  <si>
    <t>26,801931</t>
  </si>
  <si>
    <t>11,892521</t>
  </si>
  <si>
    <t>18,580268</t>
  </si>
  <si>
    <t>16/11/2037</t>
  </si>
  <si>
    <t>27,78329</t>
  </si>
  <si>
    <t>14,717773</t>
  </si>
  <si>
    <t>19,795537</t>
  </si>
  <si>
    <t>17/05/2038</t>
  </si>
  <si>
    <t>26,454356</t>
  </si>
  <si>
    <t>14,718473</t>
  </si>
  <si>
    <t>18,619126</t>
  </si>
  <si>
    <t>16/11/2038</t>
  </si>
  <si>
    <t>26,657557</t>
  </si>
  <si>
    <t>105,97094</t>
  </si>
  <si>
    <t>58,190739</t>
  </si>
  <si>
    <t>16/05/2039</t>
  </si>
  <si>
    <t>23,215879</t>
  </si>
  <si>
    <t>129,519785</t>
  </si>
  <si>
    <t>65,032453</t>
  </si>
  <si>
    <t>16/11/2039</t>
  </si>
  <si>
    <t>19,584946</t>
  </si>
  <si>
    <t>138,351066</t>
  </si>
  <si>
    <t>65,228151</t>
  </si>
  <si>
    <t>15/05/2040</t>
  </si>
  <si>
    <t>15,058945</t>
  </si>
  <si>
    <t>117,74523</t>
  </si>
  <si>
    <t>53,227771</t>
  </si>
  <si>
    <t>16/11/2040</t>
  </si>
  <si>
    <t>11,7531</t>
  </si>
  <si>
    <t>117,745386</t>
  </si>
  <si>
    <t>50,332818</t>
  </si>
  <si>
    <t>15/05/2041</t>
  </si>
  <si>
    <t>7,631922</t>
  </si>
  <si>
    <t>117,745267</t>
  </si>
  <si>
    <t>47,336333</t>
  </si>
  <si>
    <t>18/11/2041</t>
  </si>
  <si>
    <t>4,512347</t>
  </si>
  <si>
    <t>141,294582</t>
  </si>
  <si>
    <t>53,345967</t>
  </si>
  <si>
    <t>34,292811</t>
  </si>
  <si>
    <t>28,847824</t>
  </si>
  <si>
    <t>62,006458</t>
  </si>
  <si>
    <t>MSGT13</t>
  </si>
  <si>
    <t>36,450954</t>
  </si>
  <si>
    <t>48,275138</t>
  </si>
  <si>
    <t>79,419085</t>
  </si>
  <si>
    <t>32,015036</t>
  </si>
  <si>
    <t>40,622589</t>
  </si>
  <si>
    <t>65,221772</t>
  </si>
  <si>
    <t>32,209012</t>
  </si>
  <si>
    <t>40,622434</t>
  </si>
  <si>
    <t>62,509644</t>
  </si>
  <si>
    <t>29,802081</t>
  </si>
  <si>
    <t>51,807997</t>
  </si>
  <si>
    <t>67,048094</t>
  </si>
  <si>
    <t>28,743671</t>
  </si>
  <si>
    <t>57,106407</t>
  </si>
  <si>
    <t>67,442681</t>
  </si>
  <si>
    <t>26,330089</t>
  </si>
  <si>
    <t>66,879607</t>
  </si>
  <si>
    <t>70,067306</t>
  </si>
  <si>
    <t>24,836019</t>
  </si>
  <si>
    <t>69,705428</t>
  </si>
  <si>
    <t>67,907753</t>
  </si>
  <si>
    <t>21,134195</t>
  </si>
  <si>
    <t>70,646882</t>
  </si>
  <si>
    <t>63,150024</t>
  </si>
  <si>
    <t>19,887079</t>
  </si>
  <si>
    <t>100,083325</t>
  </si>
  <si>
    <t>78,874619</t>
  </si>
  <si>
    <t>15,448749</t>
  </si>
  <si>
    <t>100,672034</t>
  </si>
  <si>
    <t>73,130133</t>
  </si>
  <si>
    <t>13,113826</t>
  </si>
  <si>
    <t>120,688809</t>
  </si>
  <si>
    <t>80,432358</t>
  </si>
  <si>
    <t>8,009419</t>
  </si>
  <si>
    <t>120,688765</t>
  </si>
  <si>
    <t>74,133783</t>
  </si>
  <si>
    <t>4,399611</t>
  </si>
  <si>
    <t>121,866127</t>
  </si>
  <si>
    <t>69,423897</t>
  </si>
  <si>
    <t>35,745574</t>
  </si>
  <si>
    <t>40,188106</t>
  </si>
  <si>
    <t>74,292375</t>
  </si>
  <si>
    <t>IGSN15</t>
  </si>
  <si>
    <t>36,279043</t>
  </si>
  <si>
    <t>43,537375</t>
  </si>
  <si>
    <t>75,759692</t>
  </si>
  <si>
    <t>33,290516</t>
  </si>
  <si>
    <t>43,537058</t>
  </si>
  <si>
    <t>70,84538</t>
  </si>
  <si>
    <t>32,806336</t>
  </si>
  <si>
    <t>43,536828</t>
  </si>
  <si>
    <t>68,34502</t>
  </si>
  <si>
    <t>30,990828</t>
  </si>
  <si>
    <t>43,537645</t>
  </si>
  <si>
    <t>64,804526</t>
  </si>
  <si>
    <t>30,676322</t>
  </si>
  <si>
    <t>53,583849</t>
  </si>
  <si>
    <t>71,095755</t>
  </si>
  <si>
    <t>28,11947</t>
  </si>
  <si>
    <t>53,584176</t>
  </si>
  <si>
    <t>66,959033</t>
  </si>
  <si>
    <t>26,318174</t>
  </si>
  <si>
    <t>66,980376</t>
  </si>
  <si>
    <t>74,28328</t>
  </si>
  <si>
    <t>24,755974</t>
  </si>
  <si>
    <t>66,980112</t>
  </si>
  <si>
    <t>70,925228</t>
  </si>
  <si>
    <t>22,574787</t>
  </si>
  <si>
    <t>66,98003</t>
  </si>
  <si>
    <t>67,250556</t>
  </si>
  <si>
    <t>20,594549</t>
  </si>
  <si>
    <t>66,980387</t>
  </si>
  <si>
    <t>63,87533</t>
  </si>
  <si>
    <t>19,223839</t>
  </si>
  <si>
    <t>66,980281</t>
  </si>
  <si>
    <t>61,012605</t>
  </si>
  <si>
    <t>16,497961</t>
  </si>
  <si>
    <t>66,980481</t>
  </si>
  <si>
    <t>57,400321</t>
  </si>
  <si>
    <t>15,253686</t>
  </si>
  <si>
    <t>73,678435</t>
  </si>
  <si>
    <t>59,324599</t>
  </si>
  <si>
    <t>12,577625</t>
  </si>
  <si>
    <t>73,678158</t>
  </si>
  <si>
    <t>55,873868</t>
  </si>
  <si>
    <t>10,634457</t>
  </si>
  <si>
    <t>73,678087</t>
  </si>
  <si>
    <t>52,996956</t>
  </si>
  <si>
    <t>8,119003</t>
  </si>
  <si>
    <t>73,678378</t>
  </si>
  <si>
    <t>49,939539</t>
  </si>
  <si>
    <t>6,086614</t>
  </si>
  <si>
    <t>100,470354</t>
  </si>
  <si>
    <t>63,143296</t>
  </si>
  <si>
    <t>17/07/2034</t>
  </si>
  <si>
    <t>2,970365</t>
  </si>
  <si>
    <t>59,536503</t>
  </si>
  <si>
    <t>38,068618</t>
  </si>
  <si>
    <t>37,03438</t>
  </si>
  <si>
    <t>SUMI17</t>
  </si>
  <si>
    <t>39,961335</t>
  </si>
  <si>
    <t>37,418421</t>
  </si>
  <si>
    <t>34,370973</t>
  </si>
  <si>
    <t>39,014557</t>
  </si>
  <si>
    <t>33,934759</t>
  </si>
  <si>
    <t>38,383838</t>
  </si>
  <si>
    <t>32,182302</t>
  </si>
  <si>
    <t>39,645648</t>
  </si>
  <si>
    <t>32,003713</t>
  </si>
  <si>
    <t>29,867843</t>
  </si>
  <si>
    <t>28,562869</t>
  </si>
  <si>
    <t>38,699151</t>
  </si>
  <si>
    <t>27,980673</t>
  </si>
  <si>
    <t>26,751968</t>
  </si>
  <si>
    <t>513,050275</t>
  </si>
  <si>
    <t>370,468763</t>
  </si>
  <si>
    <t>19,822824</t>
  </si>
  <si>
    <t>12,822113</t>
  </si>
  <si>
    <t>19,034308</t>
  </si>
  <si>
    <t>331,859319</t>
  </si>
  <si>
    <t>31,868329</t>
  </si>
  <si>
    <t>13,721527</t>
  </si>
  <si>
    <t>45,316499</t>
  </si>
  <si>
    <t>EQTR11</t>
  </si>
  <si>
    <t>32,317126</t>
  </si>
  <si>
    <t>13,721367</t>
  </si>
  <si>
    <t>44,68311</t>
  </si>
  <si>
    <t>31,221277</t>
  </si>
  <si>
    <t>20,582829</t>
  </si>
  <si>
    <t>49,120808</t>
  </si>
  <si>
    <t>31,237609</t>
  </si>
  <si>
    <t>20,582266</t>
  </si>
  <si>
    <t>47,98588</t>
  </si>
  <si>
    <t>30,003896</t>
  </si>
  <si>
    <t>27,443379</t>
  </si>
  <si>
    <t>51,981305</t>
  </si>
  <si>
    <t>30,32842</t>
  </si>
  <si>
    <t>27,443966</t>
  </si>
  <si>
    <t>51,042532</t>
  </si>
  <si>
    <t>29,429139</t>
  </si>
  <si>
    <t>34,304882</t>
  </si>
  <si>
    <t>54,991936</t>
  </si>
  <si>
    <t>28,377377</t>
  </si>
  <si>
    <t>34,305272</t>
  </si>
  <si>
    <t>52,829005</t>
  </si>
  <si>
    <t>26,892827</t>
  </si>
  <si>
    <t>41,165833</t>
  </si>
  <si>
    <t>56,059698</t>
  </si>
  <si>
    <t>26,798589</t>
  </si>
  <si>
    <t>41,165989</t>
  </si>
  <si>
    <t>54,672101</t>
  </si>
  <si>
    <t>25,190428</t>
  </si>
  <si>
    <t>20,582585</t>
  </si>
  <si>
    <t>35,979348</t>
  </si>
  <si>
    <t>25,725656</t>
  </si>
  <si>
    <t>20,5834</t>
  </si>
  <si>
    <t>35,535485</t>
  </si>
  <si>
    <t>24,227732</t>
  </si>
  <si>
    <t>27,443775</t>
  </si>
  <si>
    <t>38,744325</t>
  </si>
  <si>
    <t>24,556298</t>
  </si>
  <si>
    <t>27,443962</t>
  </si>
  <si>
    <t>38,064053</t>
  </si>
  <si>
    <t>23,321618</t>
  </si>
  <si>
    <t>34,30477</t>
  </si>
  <si>
    <t>41,20295</t>
  </si>
  <si>
    <t>22,870589</t>
  </si>
  <si>
    <t>34,304915</t>
  </si>
  <si>
    <t>39,916374</t>
  </si>
  <si>
    <t>21,866321</t>
  </si>
  <si>
    <t>41,16596</t>
  </si>
  <si>
    <t>42,975396</t>
  </si>
  <si>
    <t>20,879866</t>
  </si>
  <si>
    <t>41,16567</t>
  </si>
  <si>
    <t>41,312662</t>
  </si>
  <si>
    <t>19,733672</t>
  </si>
  <si>
    <t>54,887922</t>
  </si>
  <si>
    <t>48,532713</t>
  </si>
  <si>
    <t>18,42896</t>
  </si>
  <si>
    <t>54,887302</t>
  </si>
  <si>
    <t>46,576598</t>
  </si>
  <si>
    <t>16,708552</t>
  </si>
  <si>
    <t>61,74844</t>
  </si>
  <si>
    <t>48,712607</t>
  </si>
  <si>
    <t>15,783215</t>
  </si>
  <si>
    <t>61,748665</t>
  </si>
  <si>
    <t>47,011684</t>
  </si>
  <si>
    <t>13,959028</t>
  </si>
  <si>
    <t>68,609909</t>
  </si>
  <si>
    <t>48,921846</t>
  </si>
  <si>
    <t>12,862817</t>
  </si>
  <si>
    <t>68,609522</t>
  </si>
  <si>
    <t>47,124729</t>
  </si>
  <si>
    <t>10,838472</t>
  </si>
  <si>
    <t>75,470514</t>
  </si>
  <si>
    <t>48,772355</t>
  </si>
  <si>
    <t>9,206872</t>
  </si>
  <si>
    <t>75,470736</t>
  </si>
  <si>
    <t>46,730677</t>
  </si>
  <si>
    <t>7,279567</t>
  </si>
  <si>
    <t>82,331592</t>
  </si>
  <si>
    <t>48,31418</t>
  </si>
  <si>
    <t>5,425473</t>
  </si>
  <si>
    <t>82,33137</t>
  </si>
  <si>
    <t>46,207161</t>
  </si>
  <si>
    <t>3,424851</t>
  </si>
  <si>
    <t>144,080126</t>
  </si>
  <si>
    <t>75,863413</t>
  </si>
  <si>
    <t>32,561312</t>
  </si>
  <si>
    <t>32,087232</t>
  </si>
  <si>
    <t>ENEV32</t>
  </si>
  <si>
    <t>35,584497</t>
  </si>
  <si>
    <t>33,769915</t>
  </si>
  <si>
    <t>32,835878</t>
  </si>
  <si>
    <t>30,095772</t>
  </si>
  <si>
    <t>34,484405</t>
  </si>
  <si>
    <t>30,473192</t>
  </si>
  <si>
    <t>33,385171</t>
  </si>
  <si>
    <t>457,241689</t>
  </si>
  <si>
    <t>418,489405</t>
  </si>
  <si>
    <t>22,806355</t>
  </si>
  <si>
    <t>18,760839</t>
  </si>
  <si>
    <t>22,439943</t>
  </si>
  <si>
    <t>457,242375</t>
  </si>
  <si>
    <t>380,770368</t>
  </si>
  <si>
    <t>11,586454</t>
  </si>
  <si>
    <t>8,864891</t>
  </si>
  <si>
    <t>10,945297</t>
  </si>
  <si>
    <t>345,963745</t>
  </si>
  <si>
    <t>35,255719</t>
  </si>
  <si>
    <t>34,926196</t>
  </si>
  <si>
    <t>ENGIA5</t>
  </si>
  <si>
    <t>36,121445</t>
  </si>
  <si>
    <t>34,47475</t>
  </si>
  <si>
    <t>32,44608</t>
  </si>
  <si>
    <t>35,832803</t>
  </si>
  <si>
    <t>31,780095</t>
  </si>
  <si>
    <t>34,967279</t>
  </si>
  <si>
    <t>29,913026</t>
  </si>
  <si>
    <t>29,769938</t>
  </si>
  <si>
    <t>28,46003</t>
  </si>
  <si>
    <t>35,544227</t>
  </si>
  <si>
    <t>27,214029</t>
  </si>
  <si>
    <t>34,678907</t>
  </si>
  <si>
    <t>25,617734</t>
  </si>
  <si>
    <t>398,322325</t>
  </si>
  <si>
    <t>309,073663</t>
  </si>
  <si>
    <t>23,311531</t>
  </si>
  <si>
    <t>16,007074</t>
  </si>
  <si>
    <t>24,273449</t>
  </si>
  <si>
    <t>398,322922</t>
  </si>
  <si>
    <t>279,481959</t>
  </si>
  <si>
    <t>11,655764</t>
  </si>
  <si>
    <t>7,435203</t>
  </si>
  <si>
    <t>12,136724</t>
  </si>
  <si>
    <t>252,1793</t>
  </si>
  <si>
    <t>34,92599</t>
  </si>
  <si>
    <t>ESULA6</t>
  </si>
  <si>
    <t>34,47374</t>
  </si>
  <si>
    <t>32,444388</t>
  </si>
  <si>
    <t>31,7777</t>
  </si>
  <si>
    <t>29,910094</t>
  </si>
  <si>
    <t>29,766323</t>
  </si>
  <si>
    <t>28,455913</t>
  </si>
  <si>
    <t>27,209466</t>
  </si>
  <si>
    <t>25,612862</t>
  </si>
  <si>
    <t>309,00772</t>
  </si>
  <si>
    <t>16,003296</t>
  </si>
  <si>
    <t>279,409407</t>
  </si>
  <si>
    <t>7,433104</t>
  </si>
  <si>
    <t>252,102175</t>
  </si>
  <si>
    <t>39,747171</t>
  </si>
  <si>
    <t>38,791764</t>
  </si>
  <si>
    <t>ENAT14</t>
  </si>
  <si>
    <t>41,394919</t>
  </si>
  <si>
    <t>38,71261</t>
  </si>
  <si>
    <t>39,417925</t>
  </si>
  <si>
    <t>35,394826</t>
  </si>
  <si>
    <t>41,065167</t>
  </si>
  <si>
    <t>35,34569</t>
  </si>
  <si>
    <t>32,837112</t>
  </si>
  <si>
    <t>32,519899</t>
  </si>
  <si>
    <t>40,735516</t>
  </si>
  <si>
    <t>30,932172</t>
  </si>
  <si>
    <t>40,405966</t>
  </si>
  <si>
    <t>29,429918</t>
  </si>
  <si>
    <t>27,787254</t>
  </si>
  <si>
    <t>27,307015</t>
  </si>
  <si>
    <t>40,076518</t>
  </si>
  <si>
    <t>1.031,28205</t>
  </si>
  <si>
    <t>689,107493</t>
  </si>
  <si>
    <t>35,183366</t>
  </si>
  <si>
    <t>34,836041</t>
  </si>
  <si>
    <t>ERDVC3</t>
  </si>
  <si>
    <t>36,048825</t>
  </si>
  <si>
    <t>34,314905</t>
  </si>
  <si>
    <t>32,227996</t>
  </si>
  <si>
    <t>35,760263</t>
  </si>
  <si>
    <t>31,501523</t>
  </si>
  <si>
    <t>34,89503</t>
  </si>
  <si>
    <t>29,589204</t>
  </si>
  <si>
    <t>29,387396</t>
  </si>
  <si>
    <t>28,035327</t>
  </si>
  <si>
    <t>35,471776</t>
  </si>
  <si>
    <t>26,752072</t>
  </si>
  <si>
    <t>34,606771</t>
  </si>
  <si>
    <t>25,13096</t>
  </si>
  <si>
    <t>24,973743</t>
  </si>
  <si>
    <t>23,457697</t>
  </si>
  <si>
    <t>36,337462</t>
  </si>
  <si>
    <t>23,476969</t>
  </si>
  <si>
    <t>21,701506</t>
  </si>
  <si>
    <t>354,988841</t>
  </si>
  <si>
    <t>233,900416</t>
  </si>
  <si>
    <t>23,647863</t>
  </si>
  <si>
    <t>13,597323</t>
  </si>
  <si>
    <t>24,032562</t>
  </si>
  <si>
    <t>354,989374</t>
  </si>
  <si>
    <t>209,520326</t>
  </si>
  <si>
    <t>11,920092</t>
  </si>
  <si>
    <t>6,336892</t>
  </si>
  <si>
    <t>187,581755</t>
  </si>
  <si>
    <t>41,929717</t>
  </si>
  <si>
    <t>173,448494</t>
  </si>
  <si>
    <t>210,917571</t>
  </si>
  <si>
    <t>ECHP11</t>
  </si>
  <si>
    <t>37,684074</t>
  </si>
  <si>
    <t>35,573939</t>
  </si>
  <si>
    <t>35,888957</t>
  </si>
  <si>
    <t>180,042169</t>
  </si>
  <si>
    <t>196,833728</t>
  </si>
  <si>
    <t>31,227543</t>
  </si>
  <si>
    <t>27,447937</t>
  </si>
  <si>
    <t>30,227898</t>
  </si>
  <si>
    <t>241,267196</t>
  </si>
  <si>
    <t>230,366609</t>
  </si>
  <si>
    <t>22,976601</t>
  </si>
  <si>
    <t>18,798835</t>
  </si>
  <si>
    <t>22,792648</t>
  </si>
  <si>
    <t>229,426352</t>
  </si>
  <si>
    <t>199,037587</t>
  </si>
  <si>
    <t>14,888356</t>
  </si>
  <si>
    <t>11,335499</t>
  </si>
  <si>
    <t>14,646242</t>
  </si>
  <si>
    <t>219,46881</t>
  </si>
  <si>
    <t>172,071491</t>
  </si>
  <si>
    <t>7,564077</t>
  </si>
  <si>
    <t>5,362257</t>
  </si>
  <si>
    <t>7,442031</t>
  </si>
  <si>
    <t>222,967599</t>
  </si>
  <si>
    <t>157,635303</t>
  </si>
  <si>
    <t>32,249442</t>
  </si>
  <si>
    <t>31,860844</t>
  </si>
  <si>
    <t>CPLD37</t>
  </si>
  <si>
    <t>35,251927</t>
  </si>
  <si>
    <t>33,759368</t>
  </si>
  <si>
    <t>32,522071</t>
  </si>
  <si>
    <t>30,262051</t>
  </si>
  <si>
    <t>34,159206</t>
  </si>
  <si>
    <t>30,840204</t>
  </si>
  <si>
    <t>33,067522</t>
  </si>
  <si>
    <t>28,99435</t>
  </si>
  <si>
    <t>33,886188</t>
  </si>
  <si>
    <t>28,835467</t>
  </si>
  <si>
    <t>33,340346</t>
  </si>
  <si>
    <t>27,546942</t>
  </si>
  <si>
    <t>34,432289</t>
  </si>
  <si>
    <t>27,59658</t>
  </si>
  <si>
    <t>25,326564</t>
  </si>
  <si>
    <t>26,010581</t>
  </si>
  <si>
    <t>371,475442</t>
  </si>
  <si>
    <t>296,532004</t>
  </si>
  <si>
    <t>23,502459</t>
  </si>
  <si>
    <t>16,721782</t>
  </si>
  <si>
    <t>21,500703</t>
  </si>
  <si>
    <t>371,531168</t>
  </si>
  <si>
    <t>271,774669</t>
  </si>
  <si>
    <t>11,751229</t>
  </si>
  <si>
    <t>7,876637</t>
  </si>
  <si>
    <t>11,023058</t>
  </si>
  <si>
    <t>249,03067</t>
  </si>
  <si>
    <t>33,502504</t>
  </si>
  <si>
    <t>32,803189</t>
  </si>
  <si>
    <t>CHSF13</t>
  </si>
  <si>
    <t>34,887173</t>
  </si>
  <si>
    <t>32,918581</t>
  </si>
  <si>
    <t>33,225786</t>
  </si>
  <si>
    <t>30,26496</t>
  </si>
  <si>
    <t>34,610094</t>
  </si>
  <si>
    <t>30,389926</t>
  </si>
  <si>
    <t>28,39018</t>
  </si>
  <si>
    <t>28,271945</t>
  </si>
  <si>
    <t>34,333088</t>
  </si>
  <si>
    <t>27,042902</t>
  </si>
  <si>
    <t>34,056156</t>
  </si>
  <si>
    <t>25,873136</t>
  </si>
  <si>
    <t>24,563753</t>
  </si>
  <si>
    <t>24,272687</t>
  </si>
  <si>
    <t>33,779293</t>
  </si>
  <si>
    <t>23,040614</t>
  </si>
  <si>
    <t>22,756649</t>
  </si>
  <si>
    <t>1.031,60669</t>
  </si>
  <si>
    <t>675,890485</t>
  </si>
  <si>
    <t>32,540849</t>
  </si>
  <si>
    <t>32,046914</t>
  </si>
  <si>
    <t>COCE18</t>
  </si>
  <si>
    <t>35,570765</t>
  </si>
  <si>
    <t>33,681235</t>
  </si>
  <si>
    <t>32,815968</t>
  </si>
  <si>
    <t>29,965393</t>
  </si>
  <si>
    <t>34,468055</t>
  </si>
  <si>
    <t>30,297724</t>
  </si>
  <si>
    <t>33,366401</t>
  </si>
  <si>
    <t>28,267152</t>
  </si>
  <si>
    <t>34,192542</t>
  </si>
  <si>
    <t>27,892844</t>
  </si>
  <si>
    <t>33,641714</t>
  </si>
  <si>
    <t>26,441661</t>
  </si>
  <si>
    <t>34,743634</t>
  </si>
  <si>
    <t>26,279318</t>
  </si>
  <si>
    <t>23,936686</t>
  </si>
  <si>
    <t>24,388341</t>
  </si>
  <si>
    <t>372,46364</t>
  </si>
  <si>
    <t>274,347966</t>
  </si>
  <si>
    <t>23,713854</t>
  </si>
  <si>
    <t>15,434288</t>
  </si>
  <si>
    <t>21,69391</t>
  </si>
  <si>
    <t>372,464199</t>
  </si>
  <si>
    <t>247,471471</t>
  </si>
  <si>
    <t>11,856927</t>
  </si>
  <si>
    <t>7,157548</t>
  </si>
  <si>
    <t>11,122138</t>
  </si>
  <si>
    <t>223,16945</t>
  </si>
  <si>
    <t>40,348539</t>
  </si>
  <si>
    <t>39,396809</t>
  </si>
  <si>
    <t>CAEC12</t>
  </si>
  <si>
    <t>42,021737</t>
  </si>
  <si>
    <t>39,348655</t>
  </si>
  <si>
    <t>40,014213</t>
  </si>
  <si>
    <t>36,003515</t>
  </si>
  <si>
    <t>41,68689</t>
  </si>
  <si>
    <t>35,982786</t>
  </si>
  <si>
    <t>33,454598</t>
  </si>
  <si>
    <t>33,158294</t>
  </si>
  <si>
    <t>41,352144</t>
  </si>
  <si>
    <t>31,564389</t>
  </si>
  <si>
    <t>41,017505</t>
  </si>
  <si>
    <t>30,055039</t>
  </si>
  <si>
    <t>28,399362</t>
  </si>
  <si>
    <t>27,930936</t>
  </si>
  <si>
    <t>40,682969</t>
  </si>
  <si>
    <t>26,387047</t>
  </si>
  <si>
    <t>25,938349</t>
  </si>
  <si>
    <t>23,923892</t>
  </si>
  <si>
    <t>15/12/2031</t>
  </si>
  <si>
    <t>42,356691</t>
  </si>
  <si>
    <t>24,278409</t>
  </si>
  <si>
    <t>22,392447</t>
  </si>
  <si>
    <t>15/12/2032</t>
  </si>
  <si>
    <t>22,011674</t>
  </si>
  <si>
    <t>20,953583</t>
  </si>
  <si>
    <t>15/12/2033</t>
  </si>
  <si>
    <t>20,107819</t>
  </si>
  <si>
    <t>15/06/2034</t>
  </si>
  <si>
    <t>206,04013</t>
  </si>
  <si>
    <t>115,203976</t>
  </si>
  <si>
    <t>15/12/2034</t>
  </si>
  <si>
    <t>33,081715</t>
  </si>
  <si>
    <t>107,147883</t>
  </si>
  <si>
    <t>15/06/2035</t>
  </si>
  <si>
    <t>24,209123</t>
  </si>
  <si>
    <t>206,039923</t>
  </si>
  <si>
    <t>99,104847</t>
  </si>
  <si>
    <t>17/12/2035</t>
  </si>
  <si>
    <t>16,540865</t>
  </si>
  <si>
    <t>206,040233</t>
  </si>
  <si>
    <t>91,937358</t>
  </si>
  <si>
    <t>16/06/2036</t>
  </si>
  <si>
    <t>8,002845</t>
  </si>
  <si>
    <t>84,953182</t>
  </si>
  <si>
    <t>33,138752</t>
  </si>
  <si>
    <t>33,031013</t>
  </si>
  <si>
    <t>CAEC21</t>
  </si>
  <si>
    <t>33,680313</t>
  </si>
  <si>
    <t>32,341659</t>
  </si>
  <si>
    <t>33,409504</t>
  </si>
  <si>
    <t>30,916135</t>
  </si>
  <si>
    <t>210,449026</t>
  </si>
  <si>
    <t>217,638429</t>
  </si>
  <si>
    <t>27,164533</t>
  </si>
  <si>
    <t>210,450036</t>
  </si>
  <si>
    <t>204,316469</t>
  </si>
  <si>
    <t>22,814753</t>
  </si>
  <si>
    <t>193,118016</t>
  </si>
  <si>
    <t>16,704765</t>
  </si>
  <si>
    <t>210,449825</t>
  </si>
  <si>
    <t>181,227507</t>
  </si>
  <si>
    <t>11,317074</t>
  </si>
  <si>
    <t>210,450141</t>
  </si>
  <si>
    <t>170,400869</t>
  </si>
  <si>
    <t>5,387812</t>
  </si>
  <si>
    <t>210,450142</t>
  </si>
  <si>
    <t>160,009418</t>
  </si>
  <si>
    <t>33,743775</t>
  </si>
  <si>
    <t>33,502151</t>
  </si>
  <si>
    <t>CEEBC3</t>
  </si>
  <si>
    <t>34,571854</t>
  </si>
  <si>
    <t>33,35918</t>
  </si>
  <si>
    <t>31,665957</t>
  </si>
  <si>
    <t>34,295766</t>
  </si>
  <si>
    <t>31,286044</t>
  </si>
  <si>
    <t>33,467872</t>
  </si>
  <si>
    <t>29,699014</t>
  </si>
  <si>
    <t>29,816061</t>
  </si>
  <si>
    <t>28,752744</t>
  </si>
  <si>
    <t>34,01974</t>
  </si>
  <si>
    <t>27,731829</t>
  </si>
  <si>
    <t>33,192029</t>
  </si>
  <si>
    <t>26,325864</t>
  </si>
  <si>
    <t>333,5529</t>
  </si>
  <si>
    <t>22,311925</t>
  </si>
  <si>
    <t>16,734042</t>
  </si>
  <si>
    <t>23,232015</t>
  </si>
  <si>
    <t>307,20915</t>
  </si>
  <si>
    <t>11,155962</t>
  </si>
  <si>
    <t>7,908439</t>
  </si>
  <si>
    <t>11,616007</t>
  </si>
  <si>
    <t>282,370324</t>
  </si>
  <si>
    <t>36,253483</t>
  </si>
  <si>
    <t>35,453135</t>
  </si>
  <si>
    <t>EQPA18</t>
  </si>
  <si>
    <t>39,047658</t>
  </si>
  <si>
    <t>36,719798</t>
  </si>
  <si>
    <t>37,184047</t>
  </si>
  <si>
    <t>33,686756</t>
  </si>
  <si>
    <t>38,736826</t>
  </si>
  <si>
    <t>33,756683</t>
  </si>
  <si>
    <t>37,494419</t>
  </si>
  <si>
    <t>31,46783</t>
  </si>
  <si>
    <t>31,272125</t>
  </si>
  <si>
    <t>38,426087</t>
  </si>
  <si>
    <t>29,848708</t>
  </si>
  <si>
    <t>38,115439</t>
  </si>
  <si>
    <t>28,496998</t>
  </si>
  <si>
    <t>26,997854</t>
  </si>
  <si>
    <t>26,622865</t>
  </si>
  <si>
    <t>37,804884</t>
  </si>
  <si>
    <t>25,217856</t>
  </si>
  <si>
    <t>24,855212</t>
  </si>
  <si>
    <t>22,98515</t>
  </si>
  <si>
    <t>39,358582</t>
  </si>
  <si>
    <t>23,388249</t>
  </si>
  <si>
    <t>21,629068</t>
  </si>
  <si>
    <t>21,318033</t>
  </si>
  <si>
    <t>20,347697</t>
  </si>
  <si>
    <t>252,6975</t>
  </si>
  <si>
    <t>148,331199</t>
  </si>
  <si>
    <t>28,353663</t>
  </si>
  <si>
    <t>13,909</t>
  </si>
  <si>
    <t>28,819565</t>
  </si>
  <si>
    <t>252,697247</t>
  </si>
  <si>
    <t>132,879223</t>
  </si>
  <si>
    <t>18,747219</t>
  </si>
  <si>
    <t>8,522245</t>
  </si>
  <si>
    <t>19,213052</t>
  </si>
  <si>
    <t>252,697626</t>
  </si>
  <si>
    <t>118,934938</t>
  </si>
  <si>
    <t>9,296016</t>
  </si>
  <si>
    <t>3,917213</t>
  </si>
  <si>
    <t>15/12/2036</t>
  </si>
  <si>
    <t>9,83965</t>
  </si>
  <si>
    <t>106,350365</t>
  </si>
  <si>
    <t>32,708228</t>
  </si>
  <si>
    <t>32,605044</t>
  </si>
  <si>
    <t>ELET14</t>
  </si>
  <si>
    <t>33,243899</t>
  </si>
  <si>
    <t>31,961088</t>
  </si>
  <si>
    <t>32,976031</t>
  </si>
  <si>
    <t>30,585428</t>
  </si>
  <si>
    <t>29,737877</t>
  </si>
  <si>
    <t>32,172815</t>
  </si>
  <si>
    <t>27,788678</t>
  </si>
  <si>
    <t>33,779833</t>
  </si>
  <si>
    <t>28,123454</t>
  </si>
  <si>
    <t>26,485985</t>
  </si>
  <si>
    <t>33,511835</t>
  </si>
  <si>
    <t>25,952132</t>
  </si>
  <si>
    <t>31,905205</t>
  </si>
  <si>
    <t>23,863928</t>
  </si>
  <si>
    <t>356,260777</t>
  </si>
  <si>
    <t>281,204693</t>
  </si>
  <si>
    <t>21,271201</t>
  </si>
  <si>
    <t>14,811884</t>
  </si>
  <si>
    <t>22,521014</t>
  </si>
  <si>
    <t>356,314221</t>
  </si>
  <si>
    <t>254,273444</t>
  </si>
  <si>
    <t>10,903287</t>
  </si>
  <si>
    <t>7,06219</t>
  </si>
  <si>
    <t>11,081854</t>
  </si>
  <si>
    <t>229,508253</t>
  </si>
  <si>
    <t>35,706454</t>
  </si>
  <si>
    <t>35,568824</t>
  </si>
  <si>
    <t>BRKP28</t>
  </si>
  <si>
    <t>36,29016</t>
  </si>
  <si>
    <t>34,585969</t>
  </si>
  <si>
    <t>35,998277</t>
  </si>
  <si>
    <t>32,834736</t>
  </si>
  <si>
    <t>31,668609</t>
  </si>
  <si>
    <t>35,123</t>
  </si>
  <si>
    <t>29,364992</t>
  </si>
  <si>
    <t>36,874114</t>
  </si>
  <si>
    <t>29,47428</t>
  </si>
  <si>
    <t>27,538741</t>
  </si>
  <si>
    <t>36,582106</t>
  </si>
  <si>
    <t>26,764978</t>
  </si>
  <si>
    <t>34,831367</t>
  </si>
  <si>
    <t>24,424144</t>
  </si>
  <si>
    <t>24,720302</t>
  </si>
  <si>
    <t>22,379653</t>
  </si>
  <si>
    <t>22,651019</t>
  </si>
  <si>
    <t>20,999363</t>
  </si>
  <si>
    <t>332,210745</t>
  </si>
  <si>
    <t>207,341503</t>
  </si>
  <si>
    <t>15/03/2032</t>
  </si>
  <si>
    <t>26,998707</t>
  </si>
  <si>
    <t>14,538895</t>
  </si>
  <si>
    <t>15/09/2032</t>
  </si>
  <si>
    <t>27,655586</t>
  </si>
  <si>
    <t>498,316117</t>
  </si>
  <si>
    <t>270,790956</t>
  </si>
  <si>
    <t>15/03/2033</t>
  </si>
  <si>
    <t>13,38992</t>
  </si>
  <si>
    <t>6,599985</t>
  </si>
  <si>
    <t>15/09/2033</t>
  </si>
  <si>
    <t>13,827792</t>
  </si>
  <si>
    <t>373,737088</t>
  </si>
  <si>
    <t>182,638679</t>
  </si>
  <si>
    <t>15/03/2034</t>
  </si>
  <si>
    <t>3,347479</t>
  </si>
  <si>
    <t>1,510286</t>
  </si>
  <si>
    <t>15/09/2034</t>
  </si>
  <si>
    <t>3,429572</t>
  </si>
  <si>
    <t>124,579029</t>
  </si>
  <si>
    <t>55,235276</t>
  </si>
  <si>
    <t>47,592642</t>
  </si>
  <si>
    <t>3,261182</t>
  </si>
  <si>
    <t>49,569015</t>
  </si>
  <si>
    <t>RMSA12</t>
  </si>
  <si>
    <t>49,439699</t>
  </si>
  <si>
    <t>3,261226</t>
  </si>
  <si>
    <t>49,115496</t>
  </si>
  <si>
    <t>46,962797</t>
  </si>
  <si>
    <t>3,26123</t>
  </si>
  <si>
    <t>44,847566</t>
  </si>
  <si>
    <t>48,800413</t>
  </si>
  <si>
    <t>3,261193</t>
  </si>
  <si>
    <t>44,464229</t>
  </si>
  <si>
    <t>47,116712</t>
  </si>
  <si>
    <t>3,261244</t>
  </si>
  <si>
    <t>41,210564</t>
  </si>
  <si>
    <t>48,554564</t>
  </si>
  <si>
    <t>3,261123</t>
  </si>
  <si>
    <t>40,541064</t>
  </si>
  <si>
    <t>48,043249</t>
  </si>
  <si>
    <t>3,261219</t>
  </si>
  <si>
    <t>38,406716</t>
  </si>
  <si>
    <t>47,534015</t>
  </si>
  <si>
    <t>3,261144</t>
  </si>
  <si>
    <t>36,395244</t>
  </si>
  <si>
    <t>46,640785</t>
  </si>
  <si>
    <t>3,261156</t>
  </si>
  <si>
    <t>34,246372</t>
  </si>
  <si>
    <t>47,677438</t>
  </si>
  <si>
    <t>3,261125</t>
  </si>
  <si>
    <t>33,447366</t>
  </si>
  <si>
    <t>46,786939</t>
  </si>
  <si>
    <t>17,284214</t>
  </si>
  <si>
    <t>40,281009</t>
  </si>
  <si>
    <t>47,288465</t>
  </si>
  <si>
    <t>17,284309</t>
  </si>
  <si>
    <t>38,828723</t>
  </si>
  <si>
    <t>44,768054</t>
  </si>
  <si>
    <t>29,350691</t>
  </si>
  <si>
    <t>42,703038</t>
  </si>
  <si>
    <t>46,261241</t>
  </si>
  <si>
    <t>29,3507</t>
  </si>
  <si>
    <t>41,637293</t>
  </si>
  <si>
    <t>43,355894</t>
  </si>
  <si>
    <t>34,894676</t>
  </si>
  <si>
    <t>41,257431</t>
  </si>
  <si>
    <t>43,109078</t>
  </si>
  <si>
    <t>34,894648</t>
  </si>
  <si>
    <t>39,336515</t>
  </si>
  <si>
    <t>41,458641</t>
  </si>
  <si>
    <t>39,460274</t>
  </si>
  <si>
    <t>39,043495</t>
  </si>
  <si>
    <t>39,983203</t>
  </si>
  <si>
    <t>39,46032</t>
  </si>
  <si>
    <t>36,675431</t>
  </si>
  <si>
    <t>37,885423</t>
  </si>
  <si>
    <t>44,025996</t>
  </si>
  <si>
    <t>36,206268</t>
  </si>
  <si>
    <t>36,86161</t>
  </si>
  <si>
    <t>44,025945</t>
  </si>
  <si>
    <t>34,208901</t>
  </si>
  <si>
    <t>34,361885</t>
  </si>
  <si>
    <t>48,917784</t>
  </si>
  <si>
    <t>33,734262</t>
  </si>
  <si>
    <t>33,386399</t>
  </si>
  <si>
    <t>48,91773</t>
  </si>
  <si>
    <t>31,898624</t>
  </si>
  <si>
    <t>30,537615</t>
  </si>
  <si>
    <t>45,656538</t>
  </si>
  <si>
    <t>28,294304</t>
  </si>
  <si>
    <t>30,574383</t>
  </si>
  <si>
    <t>45,656528</t>
  </si>
  <si>
    <t>27,056391</t>
  </si>
  <si>
    <t>15/06/2037</t>
  </si>
  <si>
    <t>27,233703</t>
  </si>
  <si>
    <t>49,569995</t>
  </si>
  <si>
    <t>26,118482</t>
  </si>
  <si>
    <t>15/12/2037</t>
  </si>
  <si>
    <t>26,50219</t>
  </si>
  <si>
    <t>49,569964</t>
  </si>
  <si>
    <t>24,743286</t>
  </si>
  <si>
    <t>15/06/2038</t>
  </si>
  <si>
    <t>24,041289</t>
  </si>
  <si>
    <t>54,787855</t>
  </si>
  <si>
    <t>24,549409</t>
  </si>
  <si>
    <t>15/12/2038</t>
  </si>
  <si>
    <t>22,387669</t>
  </si>
  <si>
    <t>54,787899</t>
  </si>
  <si>
    <t>22,995993</t>
  </si>
  <si>
    <t>15/06/2039</t>
  </si>
  <si>
    <t>20,174745</t>
  </si>
  <si>
    <t>61,310227</t>
  </si>
  <si>
    <t>23,239148</t>
  </si>
  <si>
    <t>15/12/2039</t>
  </si>
  <si>
    <t>18,192599</t>
  </si>
  <si>
    <t>61,310234</t>
  </si>
  <si>
    <t>21,686584</t>
  </si>
  <si>
    <t>15/06/2040</t>
  </si>
  <si>
    <t>15,754286</t>
  </si>
  <si>
    <t>66,854248</t>
  </si>
  <si>
    <t>21,560139</t>
  </si>
  <si>
    <t>17/12/2040</t>
  </si>
  <si>
    <t>13,254573</t>
  </si>
  <si>
    <t>66,854279</t>
  </si>
  <si>
    <t>20,004387</t>
  </si>
  <si>
    <t>17/06/2041</t>
  </si>
  <si>
    <t>10,581047</t>
  </si>
  <si>
    <t>70,441574</t>
  </si>
  <si>
    <t>19,371961</t>
  </si>
  <si>
    <t>16/12/2041</t>
  </si>
  <si>
    <t>8,186668</t>
  </si>
  <si>
    <t>70,441552</t>
  </si>
  <si>
    <t>17,980908</t>
  </si>
  <si>
    <t>16/06/2042</t>
  </si>
  <si>
    <t>5,309863</t>
  </si>
  <si>
    <t>146,753254</t>
  </si>
  <si>
    <t>33,318398</t>
  </si>
  <si>
    <t>BHSA11</t>
  </si>
  <si>
    <t>37,317026</t>
  </si>
  <si>
    <t>75,431288</t>
  </si>
  <si>
    <t>107,995626</t>
  </si>
  <si>
    <t>34,498886</t>
  </si>
  <si>
    <t>15,529496</t>
  </si>
  <si>
    <t>46,073051</t>
  </si>
  <si>
    <t>34,257046</t>
  </si>
  <si>
    <t>15,530442</t>
  </si>
  <si>
    <t>44,070564</t>
  </si>
  <si>
    <t>32,646409</t>
  </si>
  <si>
    <t>16,639334</t>
  </si>
  <si>
    <t>41,984954</t>
  </si>
  <si>
    <t>33,710319</t>
  </si>
  <si>
    <t>16,639361</t>
  </si>
  <si>
    <t>41,199688</t>
  </si>
  <si>
    <t>32,351953</t>
  </si>
  <si>
    <t>15,529671</t>
  </si>
  <si>
    <t>37,670423</t>
  </si>
  <si>
    <t>32,351621</t>
  </si>
  <si>
    <t>15,529906</t>
  </si>
  <si>
    <t>36,196033</t>
  </si>
  <si>
    <t>30,297421</t>
  </si>
  <si>
    <t>14,974913</t>
  </si>
  <si>
    <t>32,946279</t>
  </si>
  <si>
    <t>31,567897</t>
  </si>
  <si>
    <t>14,975139</t>
  </si>
  <si>
    <t>32,535166</t>
  </si>
  <si>
    <t>29,330501</t>
  </si>
  <si>
    <t>14,975781</t>
  </si>
  <si>
    <t>29,81564</t>
  </si>
  <si>
    <t>30,544065</t>
  </si>
  <si>
    <t>14,975534</t>
  </si>
  <si>
    <t>29,424025</t>
  </si>
  <si>
    <t>29,078282</t>
  </si>
  <si>
    <t>16,638911</t>
  </si>
  <si>
    <t>28,421968</t>
  </si>
  <si>
    <t>28,995345</t>
  </si>
  <si>
    <t>16,639247</t>
  </si>
  <si>
    <t>27,268839</t>
  </si>
  <si>
    <t>28,206187</t>
  </si>
  <si>
    <t>17,748231</t>
  </si>
  <si>
    <t>26,401837</t>
  </si>
  <si>
    <t>28,287878</t>
  </si>
  <si>
    <t>17,748786</t>
  </si>
  <si>
    <t>25,405957</t>
  </si>
  <si>
    <t>26,801966</t>
  </si>
  <si>
    <t>18,303403</t>
  </si>
  <si>
    <t>23,940371</t>
  </si>
  <si>
    <t>27,055483</t>
  </si>
  <si>
    <t>18,302841</t>
  </si>
  <si>
    <t>23,125146</t>
  </si>
  <si>
    <t>25,590375</t>
  </si>
  <si>
    <t>18,857649</t>
  </si>
  <si>
    <t>21,794699</t>
  </si>
  <si>
    <t>25,580376</t>
  </si>
  <si>
    <t>18,857843</t>
  </si>
  <si>
    <t>20,937094</t>
  </si>
  <si>
    <t>15/03/2035</t>
  </si>
  <si>
    <t>23,743745</t>
  </si>
  <si>
    <t>20,521425</t>
  </si>
  <si>
    <t>20,077166</t>
  </si>
  <si>
    <t>17/09/2035</t>
  </si>
  <si>
    <t>24,439074</t>
  </si>
  <si>
    <t>20,521478</t>
  </si>
  <si>
    <t>19,5883</t>
  </si>
  <si>
    <t>17/03/2036</t>
  </si>
  <si>
    <t>22,606962</t>
  </si>
  <si>
    <t>21,630964</t>
  </si>
  <si>
    <t>18,548289</t>
  </si>
  <si>
    <t>15/09/2036</t>
  </si>
  <si>
    <t>22,632826</t>
  </si>
  <si>
    <t>21,631287</t>
  </si>
  <si>
    <t>17,838517</t>
  </si>
  <si>
    <t>16/03/2037</t>
  </si>
  <si>
    <t>21,728416</t>
  </si>
  <si>
    <t>24,404478</t>
  </si>
  <si>
    <t>17,875248</t>
  </si>
  <si>
    <t>15/09/2037</t>
  </si>
  <si>
    <t>21,084153</t>
  </si>
  <si>
    <t>24,404245</t>
  </si>
  <si>
    <t>16,941034</t>
  </si>
  <si>
    <t>15/03/2038</t>
  </si>
  <si>
    <t>19,609545</t>
  </si>
  <si>
    <t>26,068157</t>
  </si>
  <si>
    <t>16,371463</t>
  </si>
  <si>
    <t>15/09/2038</t>
  </si>
  <si>
    <t>19,699147</t>
  </si>
  <si>
    <t>26,068323</t>
  </si>
  <si>
    <t>15,75669</t>
  </si>
  <si>
    <t>15/03/2039</t>
  </si>
  <si>
    <t>18,210666</t>
  </si>
  <si>
    <t>31,614809</t>
  </si>
  <si>
    <t>16,497968</t>
  </si>
  <si>
    <t>15/09/2039</t>
  </si>
  <si>
    <t>17,727327</t>
  </si>
  <si>
    <t>31,614845</t>
  </si>
  <si>
    <t>15,693583</t>
  </si>
  <si>
    <t>15/03/2040</t>
  </si>
  <si>
    <t>16,250023</t>
  </si>
  <si>
    <t>33,27847</t>
  </si>
  <si>
    <t>15,14584</t>
  </si>
  <si>
    <t>17/09/2040</t>
  </si>
  <si>
    <t>15,509036</t>
  </si>
  <si>
    <t>33,278704</t>
  </si>
  <si>
    <t>14,330911</t>
  </si>
  <si>
    <t>15/03/2041</t>
  </si>
  <si>
    <t>13,572961</t>
  </si>
  <si>
    <t>36,051744</t>
  </si>
  <si>
    <t>14,032709</t>
  </si>
  <si>
    <t>16/09/2041</t>
  </si>
  <si>
    <t>13,139068</t>
  </si>
  <si>
    <t>36,051698</t>
  </si>
  <si>
    <t>13,361401</t>
  </si>
  <si>
    <t>17/03/2042</t>
  </si>
  <si>
    <t>11,528515</t>
  </si>
  <si>
    <t>40,488861</t>
  </si>
  <si>
    <t>13,589009</t>
  </si>
  <si>
    <t>15/09/2042</t>
  </si>
  <si>
    <t>10,35548</t>
  </si>
  <si>
    <t>40,489021</t>
  </si>
  <si>
    <t>12,766776</t>
  </si>
  <si>
    <t>16/03/2043</t>
  </si>
  <si>
    <t>8,920849</t>
  </si>
  <si>
    <t>55,464217</t>
  </si>
  <si>
    <t>15,543785</t>
  </si>
  <si>
    <t>15/09/2043</t>
  </si>
  <si>
    <t>7,127551</t>
  </si>
  <si>
    <t>55,464154</t>
  </si>
  <si>
    <t>14,524002</t>
  </si>
  <si>
    <t>15/03/2044</t>
  </si>
  <si>
    <t>5,134388</t>
  </si>
  <si>
    <t>156,409001</t>
  </si>
  <si>
    <t>36,06336</t>
  </si>
  <si>
    <t>33,761842</t>
  </si>
  <si>
    <t>33,434337</t>
  </si>
  <si>
    <t>PLSB1A</t>
  </si>
  <si>
    <t>34,590428</t>
  </si>
  <si>
    <t>23,780906</t>
  </si>
  <si>
    <t>55,611533</t>
  </si>
  <si>
    <t>33,086605</t>
  </si>
  <si>
    <t>29,725894</t>
  </si>
  <si>
    <t>57,624459</t>
  </si>
  <si>
    <t>32,77004</t>
  </si>
  <si>
    <t>29,726126</t>
  </si>
  <si>
    <t>55,175352</t>
  </si>
  <si>
    <t>31,141772</t>
  </si>
  <si>
    <t>65,397743</t>
  </si>
  <si>
    <t>82,096509</t>
  </si>
  <si>
    <t>30,266624</t>
  </si>
  <si>
    <t>65,397341</t>
  </si>
  <si>
    <t>78,264824</t>
  </si>
  <si>
    <t>28,137625</t>
  </si>
  <si>
    <t>86,206152</t>
  </si>
  <si>
    <t>90,024708</t>
  </si>
  <si>
    <t>25,44338</t>
  </si>
  <si>
    <t>86,205791</t>
  </si>
  <si>
    <t>84,619009</t>
  </si>
  <si>
    <t>22,416582</t>
  </si>
  <si>
    <t>125,444004</t>
  </si>
  <si>
    <t>107,975441</t>
  </si>
  <si>
    <t>19,541921</t>
  </si>
  <si>
    <t>125,444137</t>
  </si>
  <si>
    <t>101,889577</t>
  </si>
  <si>
    <t>15,537402</t>
  </si>
  <si>
    <t>132,28137</t>
  </si>
  <si>
    <t>100,060102</t>
  </si>
  <si>
    <t>12,299249</t>
  </si>
  <si>
    <t>132,281252</t>
  </si>
  <si>
    <t>94,125531</t>
  </si>
  <si>
    <t>8,086817</t>
  </si>
  <si>
    <t>143,577288</t>
  </si>
  <si>
    <t>95,106096</t>
  </si>
  <si>
    <t>4,210162</t>
  </si>
  <si>
    <t>89,131142</t>
  </si>
  <si>
    <t>30,933417</t>
  </si>
  <si>
    <t>30,83193</t>
  </si>
  <si>
    <t>ARTR19</t>
  </si>
  <si>
    <t>31,43826</t>
  </si>
  <si>
    <t>30,177528</t>
  </si>
  <si>
    <t>31,185813</t>
  </si>
  <si>
    <t>28,837946</t>
  </si>
  <si>
    <t>657,42495</t>
  </si>
  <si>
    <t>613,468982</t>
  </si>
  <si>
    <t>15,21438</t>
  </si>
  <si>
    <t>13,064271</t>
  </si>
  <si>
    <t>15,971647</t>
  </si>
  <si>
    <t>556,537871</t>
  </si>
  <si>
    <t>29,594518</t>
  </si>
  <si>
    <t>29,066421</t>
  </si>
  <si>
    <t>ALGAB1</t>
  </si>
  <si>
    <t>31,05626</t>
  </si>
  <si>
    <t>29,749711</t>
  </si>
  <si>
    <t>27,682332</t>
  </si>
  <si>
    <t>30,325179</t>
  </si>
  <si>
    <t>27,682183</t>
  </si>
  <si>
    <t>29,838024</t>
  </si>
  <si>
    <t>26,591372</t>
  </si>
  <si>
    <t>30,81252</t>
  </si>
  <si>
    <t>26,787692</t>
  </si>
  <si>
    <t>25,32514</t>
  </si>
  <si>
    <t>24,527364</t>
  </si>
  <si>
    <t>30,081579</t>
  </si>
  <si>
    <t>409,295423</t>
  </si>
  <si>
    <t>355,440219</t>
  </si>
  <si>
    <t>19,893011</t>
  </si>
  <si>
    <t>15,710987</t>
  </si>
  <si>
    <t>409,356823</t>
  </si>
  <si>
    <t>330,968628</t>
  </si>
  <si>
    <t>10,271352</t>
  </si>
  <si>
    <t>7,725768</t>
  </si>
  <si>
    <t>9,865332</t>
  </si>
  <si>
    <t>307,904557</t>
  </si>
  <si>
    <t>34,085216</t>
  </si>
  <si>
    <t>33,552905</t>
  </si>
  <si>
    <t>GSTS14</t>
  </si>
  <si>
    <t>37,261266</t>
  </si>
  <si>
    <t>35,225953</t>
  </si>
  <si>
    <t>34,373585</t>
  </si>
  <si>
    <t>31,304835</t>
  </si>
  <si>
    <t>36,105326</t>
  </si>
  <si>
    <t>31,61805</t>
  </si>
  <si>
    <t>34,950544</t>
  </si>
  <si>
    <t>29,466675</t>
  </si>
  <si>
    <t>35,816522</t>
  </si>
  <si>
    <t>29,045032</t>
  </si>
  <si>
    <t>35,239129</t>
  </si>
  <si>
    <t>27,503816</t>
  </si>
  <si>
    <t>36,394202</t>
  </si>
  <si>
    <t>27,305062</t>
  </si>
  <si>
    <t>24,843755</t>
  </si>
  <si>
    <t>25,285282</t>
  </si>
  <si>
    <t>372,304901</t>
  </si>
  <si>
    <t>272,187546</t>
  </si>
  <si>
    <t>24,840856</t>
  </si>
  <si>
    <t>15,967049</t>
  </si>
  <si>
    <t>22,723489</t>
  </si>
  <si>
    <t>372,305459</t>
  </si>
  <si>
    <t>244,682287</t>
  </si>
  <si>
    <t>12,420427</t>
  </si>
  <si>
    <t>7,388413</t>
  </si>
  <si>
    <t>11,650187</t>
  </si>
  <si>
    <t>219,891838</t>
  </si>
  <si>
    <t>31,624284</t>
  </si>
  <si>
    <t>31,525378</t>
  </si>
  <si>
    <t>TIET29</t>
  </si>
  <si>
    <t>32,14025</t>
  </si>
  <si>
    <t>30,910517</t>
  </si>
  <si>
    <t>31,882243</t>
  </si>
  <si>
    <t>29,590136</t>
  </si>
  <si>
    <t>28,778274</t>
  </si>
  <si>
    <t>31,108508</t>
  </si>
  <si>
    <t>459,85268</t>
  </si>
  <si>
    <t>424,594877</t>
  </si>
  <si>
    <t>21,772022</t>
  </si>
  <si>
    <t>18,155006</t>
  </si>
  <si>
    <t>21,25589</t>
  </si>
  <si>
    <t>387,152278</t>
  </si>
  <si>
    <t>10,801593</t>
  </si>
  <si>
    <t>8,383401</t>
  </si>
  <si>
    <t>10,285619</t>
  </si>
  <si>
    <t>459,990649</t>
  </si>
  <si>
    <t>352,631645</t>
  </si>
  <si>
    <t>61,789443</t>
  </si>
  <si>
    <t>61,581418</t>
  </si>
  <si>
    <t>AESOA1</t>
  </si>
  <si>
    <t>33,261021</t>
  </si>
  <si>
    <t>31,892956</t>
  </si>
  <si>
    <t>32,992902</t>
  </si>
  <si>
    <t>30,446449</t>
  </si>
  <si>
    <t>29,53082</t>
  </si>
  <si>
    <t>32,188949</t>
  </si>
  <si>
    <t>27,529802</t>
  </si>
  <si>
    <t>33,797459</t>
  </si>
  <si>
    <t>27,793155</t>
  </si>
  <si>
    <t>41,612819</t>
  </si>
  <si>
    <t>59,044965</t>
  </si>
  <si>
    <t>32,188038</t>
  </si>
  <si>
    <t>41,613152</t>
  </si>
  <si>
    <t>56,177803</t>
  </si>
  <si>
    <t>29,367399</t>
  </si>
  <si>
    <t>41,612555</t>
  </si>
  <si>
    <t>52,062691</t>
  </si>
  <si>
    <t>29,741762</t>
  </si>
  <si>
    <t>41,613231</t>
  </si>
  <si>
    <t>50,323724</t>
  </si>
  <si>
    <t>26,813707</t>
  </si>
  <si>
    <t>41,612755</t>
  </si>
  <si>
    <t>46,500969</t>
  </si>
  <si>
    <t>27,037953</t>
  </si>
  <si>
    <t>41,612798</t>
  </si>
  <si>
    <t>44,858083</t>
  </si>
  <si>
    <t>24,870874</t>
  </si>
  <si>
    <t>41,61313</t>
  </si>
  <si>
    <t>41,821795</t>
  </si>
  <si>
    <t>23,947912</t>
  </si>
  <si>
    <t>41,613112</t>
  </si>
  <si>
    <t>39,678479</t>
  </si>
  <si>
    <t>22,435141</t>
  </si>
  <si>
    <t>41,613093</t>
  </si>
  <si>
    <t>37,305545</t>
  </si>
  <si>
    <t>21,630332</t>
  </si>
  <si>
    <t>41,612739</t>
  </si>
  <si>
    <t>35,419031</t>
  </si>
  <si>
    <t>19,634872</t>
  </si>
  <si>
    <t>52,015716</t>
  </si>
  <si>
    <t>38,630788</t>
  </si>
  <si>
    <t>18,588573</t>
  </si>
  <si>
    <t>52,015891</t>
  </si>
  <si>
    <t>36,601887</t>
  </si>
  <si>
    <t>16,362402</t>
  </si>
  <si>
    <t>52,015948</t>
  </si>
  <si>
    <t>34,125577</t>
  </si>
  <si>
    <t>15,08812</t>
  </si>
  <si>
    <t>52,015896</t>
  </si>
  <si>
    <t>32,210729</t>
  </si>
  <si>
    <t>12,768422</t>
  </si>
  <si>
    <t>52,015955</t>
  </si>
  <si>
    <t>29,964831</t>
  </si>
  <si>
    <t>11,829095</t>
  </si>
  <si>
    <t>52,015903</t>
  </si>
  <si>
    <t>28,393958</t>
  </si>
  <si>
    <t>9,656672</t>
  </si>
  <si>
    <t>62,419157</t>
  </si>
  <si>
    <t>30,877709</t>
  </si>
  <si>
    <t>7,982635</t>
  </si>
  <si>
    <t>29,017696</t>
  </si>
  <si>
    <t>5,938715</t>
  </si>
  <si>
    <t>62,419095</t>
  </si>
  <si>
    <t>27,115917</t>
  </si>
  <si>
    <t>3,991319</t>
  </si>
  <si>
    <t>62,419188</t>
  </si>
  <si>
    <t>25,345259</t>
  </si>
  <si>
    <t>1,931335</t>
  </si>
  <si>
    <t>23,657475</t>
  </si>
  <si>
    <t>Amortização</t>
  </si>
  <si>
    <t>Total</t>
  </si>
  <si>
    <t>DIV1</t>
  </si>
  <si>
    <t>AF DEB INCENTIVADAS</t>
  </si>
  <si>
    <t>BH FIRF INFRA</t>
  </si>
  <si>
    <t>DAP25</t>
  </si>
  <si>
    <t>DAP26</t>
  </si>
  <si>
    <t>DAP27</t>
  </si>
  <si>
    <t>DAP28</t>
  </si>
  <si>
    <t>DAP30</t>
  </si>
  <si>
    <t>DAP32</t>
  </si>
  <si>
    <t>DAP35</t>
  </si>
  <si>
    <t>DAP40</t>
  </si>
  <si>
    <t>DAP29</t>
  </si>
  <si>
    <t>DAP31</t>
  </si>
  <si>
    <t>DADOS DE DIV1 DAP</t>
  </si>
  <si>
    <t>DIV1(BBG)</t>
  </si>
  <si>
    <t>Fundos</t>
  </si>
  <si>
    <t>Quantidade</t>
  </si>
  <si>
    <t>DV01</t>
  </si>
  <si>
    <t>DIV1-PAPEL</t>
  </si>
  <si>
    <t>DAP33</t>
  </si>
  <si>
    <t>DAP34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</si>
</sst>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R$&quot;\ #,##0.00"/>
    <numFmt numFmtId="168" formatCode="_-&quot;R$&quot;\ * #,##0.00_-;\-&quot;R$&quot;\ * #,##0.00_-;_-&quot;R$&quot;\ * &quot;-&quot;??_-;_-@_-"/>
    <numFmt numFmtId="169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F81B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4" borderId="0"/>
    <xf numFmtId="0" fontId="5" fillId="0" borderId="0"/>
    <xf numFmtId="43" fontId="6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5" fillId="0" borderId="0"/>
    <xf numFmtId="169" fontId="2" fillId="0" borderId="0" applyFont="0" applyFill="0" applyBorder="0" applyAlignment="0" applyProtection="0"/>
    <xf numFmtId="0" fontId="7" fillId="0" borderId="0"/>
    <xf numFmtId="168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center" vertical="top"/>
    </xf>
    <xf numFmtId="164" fontId="0" fillId="0" borderId="0" xfId="0" applyNumberFormat="1"/>
    <xf numFmtId="0" fontId="3" fillId="2" borderId="0" xfId="0" applyFont="1" applyFill="1" applyAlignment="1">
      <alignment horizontal="center"/>
    </xf>
    <xf numFmtId="43" fontId="0" fillId="0" borderId="0" xfId="1" applyFont="1"/>
    <xf numFmtId="0" fontId="0" fillId="0" borderId="0" xfId="0"/>
    <xf numFmtId="9" fontId="0" fillId="0" borderId="0" xfId="2" applyFont="1"/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1">
    <cellStyle name="blp_column_header" xfId="3" xr:uid="{97C832A3-86AB-4F02-9FBB-16BB7EB367DA}"/>
    <cellStyle name="Comma 12 3 2 2" xfId="6" xr:uid="{93783BA9-BA08-41B2-A523-70E00BAB2F7D}"/>
    <cellStyle name="Comma 2" xfId="5" xr:uid="{AFD3C2C9-9AC7-4A43-8303-85B2B238D557}"/>
    <cellStyle name="Moeda 2" xfId="10" xr:uid="{01C10E0D-68B8-4AEB-A495-5A6F3300CCC9}"/>
    <cellStyle name="Normal" xfId="0" builtinId="0"/>
    <cellStyle name="Normal 144" xfId="7" xr:uid="{D70709DD-AA33-456B-A01D-1D873212EFBE}"/>
    <cellStyle name="Normal 2" xfId="4" xr:uid="{CC373F85-38A1-4A6E-B8D9-C8A213367138}"/>
    <cellStyle name="Normal 3" xfId="9" xr:uid="{B91383DE-49A6-4969-B8D1-498A4B18202C}"/>
    <cellStyle name="Porcentagem" xfId="2" builtinId="5"/>
    <cellStyle name="Vírgula 2" xfId="1" xr:uid="{49AA5BCF-99FC-4CF3-81FC-15696FBF3422}"/>
    <cellStyle name="Vírgula 3" xfId="8" xr:uid="{B94C39F9-CABF-4285-A255-7F82C13DA4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1"/>
  <sheetViews>
    <sheetView tabSelected="1" workbookViewId="0">
      <selection activeCell="L6" sqref="L5:L6"/>
    </sheetView>
  </sheetViews>
  <sheetFormatPr defaultRowHeight="15" x14ac:dyDescent="0.25"/>
  <cols>
    <col min="2" max="2" width="12.7109375" customWidth="1"/>
    <col min="14" max="14" width="12.7109375" bestFit="1" customWidth="1"/>
    <col min="15" max="16" width="14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 t="s">
        <v>1752</v>
      </c>
      <c r="L1" s="3" t="s">
        <v>1753</v>
      </c>
      <c r="N1" s="3" t="s">
        <v>9</v>
      </c>
      <c r="O1" s="3" t="s">
        <v>1735</v>
      </c>
      <c r="P1" s="3" t="s">
        <v>1736</v>
      </c>
      <c r="S1" s="3" t="s">
        <v>1737</v>
      </c>
      <c r="AA1" s="6"/>
      <c r="AC1" t="s">
        <v>1750</v>
      </c>
      <c r="AF1" s="5"/>
      <c r="AG1" s="11" t="s">
        <v>1754</v>
      </c>
    </row>
    <row r="2" spans="1:33" x14ac:dyDescent="0.25">
      <c r="A2" t="s">
        <v>9</v>
      </c>
      <c r="B2" t="s">
        <v>10</v>
      </c>
      <c r="C2">
        <v>11</v>
      </c>
      <c r="D2">
        <v>124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K2" t="s">
        <v>1738</v>
      </c>
      <c r="L2">
        <v>230</v>
      </c>
      <c r="M2" s="2">
        <f>SUM(L2:L3)</f>
        <v>3697</v>
      </c>
      <c r="N2" s="4">
        <f t="shared" ref="N2:N14" si="0">$M$2*F2</f>
        <v>156023.537174</v>
      </c>
      <c r="O2" s="4">
        <f t="shared" ref="O2:O14" si="1">$M$2*G2</f>
        <v>0</v>
      </c>
      <c r="P2" s="4">
        <f>N2+O2</f>
        <v>156023.537174</v>
      </c>
      <c r="S2" s="4">
        <f t="shared" ref="S2:S14" si="2">P2*0.00001*(C2/252)</f>
        <v>6.8105512258492068E-2</v>
      </c>
      <c r="X2" t="s">
        <v>1755</v>
      </c>
      <c r="Y2" t="s">
        <v>1751</v>
      </c>
      <c r="AA2" s="6"/>
      <c r="AC2" t="s">
        <v>1740</v>
      </c>
      <c r="AD2" s="6">
        <v>2.2425509225</v>
      </c>
      <c r="AF2" s="7" t="s">
        <v>1740</v>
      </c>
      <c r="AG2" s="10">
        <v>3.419210964202648</v>
      </c>
    </row>
    <row r="3" spans="1:33" x14ac:dyDescent="0.25">
      <c r="A3" t="s">
        <v>9</v>
      </c>
      <c r="B3" t="s">
        <v>16</v>
      </c>
      <c r="C3">
        <v>137</v>
      </c>
      <c r="D3">
        <v>126</v>
      </c>
      <c r="E3" t="s">
        <v>11</v>
      </c>
      <c r="F3" t="s">
        <v>17</v>
      </c>
      <c r="G3" t="s">
        <v>13</v>
      </c>
      <c r="H3" t="s">
        <v>18</v>
      </c>
      <c r="I3" t="s">
        <v>15</v>
      </c>
      <c r="K3" t="s">
        <v>1739</v>
      </c>
      <c r="L3">
        <v>3467</v>
      </c>
      <c r="N3" s="4">
        <f t="shared" si="0"/>
        <v>158591.15912900001</v>
      </c>
      <c r="O3" s="4">
        <f t="shared" si="1"/>
        <v>0</v>
      </c>
      <c r="P3" s="4">
        <f t="shared" ref="P3:P14" si="3">N3+O3</f>
        <v>158591.15912900001</v>
      </c>
      <c r="S3" s="4">
        <f t="shared" si="2"/>
        <v>0.86218209526480161</v>
      </c>
      <c r="W3" t="s">
        <v>1740</v>
      </c>
      <c r="X3" s="4">
        <f>S2+S3</f>
        <v>0.93028760752329365</v>
      </c>
      <c r="Y3" s="6">
        <v>3.419210964202648</v>
      </c>
      <c r="Z3" s="6">
        <f>X3/Y3</f>
        <v>0.27207669174640547</v>
      </c>
      <c r="AA3" s="6"/>
      <c r="AC3" t="s">
        <v>1741</v>
      </c>
      <c r="AD3" s="6">
        <v>11.188945564999999</v>
      </c>
      <c r="AF3" s="7" t="s">
        <v>1741</v>
      </c>
      <c r="AG3" s="9">
        <v>21.677699195308378</v>
      </c>
    </row>
    <row r="4" spans="1:33" x14ac:dyDescent="0.25">
      <c r="A4" t="s">
        <v>9</v>
      </c>
      <c r="B4" t="s">
        <v>19</v>
      </c>
      <c r="C4">
        <v>262</v>
      </c>
      <c r="D4">
        <v>125</v>
      </c>
      <c r="E4" t="s">
        <v>11</v>
      </c>
      <c r="F4" t="s">
        <v>20</v>
      </c>
      <c r="G4" t="s">
        <v>13</v>
      </c>
      <c r="H4" t="s">
        <v>21</v>
      </c>
      <c r="I4" t="s">
        <v>15</v>
      </c>
      <c r="N4" s="4">
        <f t="shared" si="0"/>
        <v>157307.142968</v>
      </c>
      <c r="O4" s="4">
        <f t="shared" si="1"/>
        <v>0</v>
      </c>
      <c r="P4" s="4">
        <f t="shared" si="3"/>
        <v>157307.142968</v>
      </c>
      <c r="S4" s="4">
        <f t="shared" si="2"/>
        <v>1.6354948991117464</v>
      </c>
      <c r="W4" t="s">
        <v>1741</v>
      </c>
      <c r="X4" s="4">
        <f>S4+S5</f>
        <v>4.077295285701112</v>
      </c>
      <c r="Y4" s="6">
        <v>21.677699195308378</v>
      </c>
      <c r="Z4" s="6">
        <f t="shared" ref="Z4:Z9" si="4">X4/Y4</f>
        <v>0.18808708659374448</v>
      </c>
      <c r="AA4" s="6"/>
      <c r="AC4" t="s">
        <v>1742</v>
      </c>
      <c r="AD4" s="6">
        <v>15.8257652275</v>
      </c>
      <c r="AF4" s="7" t="s">
        <v>1742</v>
      </c>
      <c r="AG4" s="10">
        <v>31.183309670013841</v>
      </c>
    </row>
    <row r="5" spans="1:33" x14ac:dyDescent="0.25">
      <c r="A5" t="s">
        <v>9</v>
      </c>
      <c r="B5" t="s">
        <v>22</v>
      </c>
      <c r="C5">
        <v>388</v>
      </c>
      <c r="D5">
        <v>126</v>
      </c>
      <c r="E5" t="s">
        <v>11</v>
      </c>
      <c r="F5" t="s">
        <v>17</v>
      </c>
      <c r="G5" t="s">
        <v>13</v>
      </c>
      <c r="H5" t="s">
        <v>23</v>
      </c>
      <c r="I5" t="s">
        <v>15</v>
      </c>
      <c r="N5" s="4">
        <f t="shared" si="0"/>
        <v>158591.15912900001</v>
      </c>
      <c r="O5" s="4">
        <f t="shared" si="1"/>
        <v>0</v>
      </c>
      <c r="P5" s="4">
        <f t="shared" si="3"/>
        <v>158591.15912900001</v>
      </c>
      <c r="S5" s="4">
        <f t="shared" si="2"/>
        <v>2.4418003865893656</v>
      </c>
      <c r="W5" t="s">
        <v>1742</v>
      </c>
      <c r="X5" s="4">
        <f>S6+S7</f>
        <v>7.1858613435409522</v>
      </c>
      <c r="Y5" s="6">
        <v>31.183309670013841</v>
      </c>
      <c r="Z5" s="6">
        <f t="shared" si="4"/>
        <v>0.2304393414163777</v>
      </c>
      <c r="AC5" t="s">
        <v>1743</v>
      </c>
      <c r="AD5" s="6">
        <v>22.418805232499999</v>
      </c>
      <c r="AF5" s="7" t="s">
        <v>1743</v>
      </c>
      <c r="AG5" s="9">
        <v>44.549694874964189</v>
      </c>
    </row>
    <row r="6" spans="1:33" x14ac:dyDescent="0.25">
      <c r="A6" t="s">
        <v>9</v>
      </c>
      <c r="B6" t="s">
        <v>24</v>
      </c>
      <c r="C6">
        <v>510</v>
      </c>
      <c r="D6">
        <v>122</v>
      </c>
      <c r="E6" t="s">
        <v>11</v>
      </c>
      <c r="F6" t="s">
        <v>25</v>
      </c>
      <c r="G6" t="s">
        <v>13</v>
      </c>
      <c r="H6" t="s">
        <v>26</v>
      </c>
      <c r="I6" t="s">
        <v>15</v>
      </c>
      <c r="N6" s="4">
        <f t="shared" si="0"/>
        <v>153457.556687</v>
      </c>
      <c r="O6" s="4">
        <f t="shared" si="1"/>
        <v>0</v>
      </c>
      <c r="P6" s="4">
        <f t="shared" si="3"/>
        <v>153457.556687</v>
      </c>
      <c r="S6" s="4">
        <f t="shared" si="2"/>
        <v>3.1056886472369047</v>
      </c>
      <c r="W6" t="s">
        <v>1743</v>
      </c>
      <c r="X6" s="4">
        <f>S8+S9</f>
        <v>10.409310369814047</v>
      </c>
      <c r="Y6" s="6">
        <v>44.549694874964189</v>
      </c>
      <c r="Z6" s="6">
        <f t="shared" si="4"/>
        <v>0.23365615407758536</v>
      </c>
      <c r="AA6" s="6"/>
      <c r="AC6" t="s">
        <v>1744</v>
      </c>
      <c r="AD6" s="6">
        <v>30.203300824999999</v>
      </c>
      <c r="AF6" s="7" t="s">
        <v>1748</v>
      </c>
      <c r="AG6" s="10">
        <v>51.156731645634864</v>
      </c>
    </row>
    <row r="7" spans="1:33" x14ac:dyDescent="0.25">
      <c r="A7" t="s">
        <v>9</v>
      </c>
      <c r="B7" t="s">
        <v>27</v>
      </c>
      <c r="C7">
        <v>638</v>
      </c>
      <c r="D7">
        <v>128</v>
      </c>
      <c r="E7" t="s">
        <v>11</v>
      </c>
      <c r="F7" t="s">
        <v>28</v>
      </c>
      <c r="G7" t="s">
        <v>13</v>
      </c>
      <c r="H7" t="s">
        <v>29</v>
      </c>
      <c r="I7" t="s">
        <v>15</v>
      </c>
      <c r="N7" s="4">
        <f t="shared" si="0"/>
        <v>161160.42624899998</v>
      </c>
      <c r="O7" s="4">
        <f t="shared" si="1"/>
        <v>0</v>
      </c>
      <c r="P7" s="4">
        <f t="shared" si="3"/>
        <v>161160.42624899998</v>
      </c>
      <c r="S7" s="4">
        <f t="shared" si="2"/>
        <v>4.0801726963040474</v>
      </c>
      <c r="W7" t="s">
        <v>1748</v>
      </c>
      <c r="X7" s="4">
        <f>S10+S11</f>
        <v>62.471841396685477</v>
      </c>
      <c r="Y7">
        <v>51.156731645634864</v>
      </c>
      <c r="Z7" s="6">
        <f t="shared" si="4"/>
        <v>1.2211851575943304</v>
      </c>
      <c r="AC7" t="s">
        <v>1745</v>
      </c>
      <c r="AD7" s="6">
        <v>35.228172322500001</v>
      </c>
      <c r="AF7" s="7" t="s">
        <v>1744</v>
      </c>
      <c r="AG7" s="9">
        <v>60.454603402395151</v>
      </c>
    </row>
    <row r="8" spans="1:33" x14ac:dyDescent="0.25">
      <c r="A8" t="s">
        <v>9</v>
      </c>
      <c r="B8" t="s">
        <v>30</v>
      </c>
      <c r="C8">
        <v>763</v>
      </c>
      <c r="D8">
        <v>125</v>
      </c>
      <c r="E8" t="s">
        <v>11</v>
      </c>
      <c r="F8" t="s">
        <v>20</v>
      </c>
      <c r="G8" t="s">
        <v>13</v>
      </c>
      <c r="H8" t="s">
        <v>31</v>
      </c>
      <c r="I8" t="s">
        <v>15</v>
      </c>
      <c r="N8" s="4">
        <f t="shared" si="0"/>
        <v>157307.142968</v>
      </c>
      <c r="O8" s="4">
        <f t="shared" si="1"/>
        <v>0</v>
      </c>
      <c r="P8" s="4">
        <f t="shared" si="3"/>
        <v>157307.142968</v>
      </c>
      <c r="S8" s="4">
        <f t="shared" si="2"/>
        <v>4.7629107176422227</v>
      </c>
      <c r="W8" t="s">
        <v>1744</v>
      </c>
      <c r="X8" s="4">
        <f>S12+S13</f>
        <v>72.228646181253822</v>
      </c>
      <c r="Y8" s="6">
        <v>60.454603402395151</v>
      </c>
      <c r="Z8" s="6">
        <f t="shared" si="4"/>
        <v>1.1947584156741353</v>
      </c>
      <c r="AC8" t="s">
        <v>1746</v>
      </c>
      <c r="AD8" s="6">
        <v>39.724554422500006</v>
      </c>
      <c r="AF8" s="7" t="s">
        <v>1745</v>
      </c>
      <c r="AG8" s="10">
        <v>71.349986243556486</v>
      </c>
    </row>
    <row r="9" spans="1:33" x14ac:dyDescent="0.25">
      <c r="A9" t="s">
        <v>9</v>
      </c>
      <c r="B9" t="s">
        <v>32</v>
      </c>
      <c r="C9">
        <v>890</v>
      </c>
      <c r="D9">
        <v>127</v>
      </c>
      <c r="E9" t="s">
        <v>11</v>
      </c>
      <c r="F9" t="s">
        <v>33</v>
      </c>
      <c r="G9" t="s">
        <v>13</v>
      </c>
      <c r="H9" t="s">
        <v>34</v>
      </c>
      <c r="I9" t="s">
        <v>15</v>
      </c>
      <c r="N9" s="4">
        <f t="shared" si="0"/>
        <v>159875.58565699999</v>
      </c>
      <c r="O9" s="4">
        <f t="shared" si="1"/>
        <v>0</v>
      </c>
      <c r="P9" s="4">
        <f t="shared" si="3"/>
        <v>159875.58565699999</v>
      </c>
      <c r="S9" s="4">
        <f t="shared" si="2"/>
        <v>5.6463996521718247</v>
      </c>
      <c r="W9" t="s">
        <v>1749</v>
      </c>
      <c r="X9" s="4">
        <f>S14</f>
        <v>80.157190184400008</v>
      </c>
      <c r="Y9">
        <v>71.349986243556486</v>
      </c>
      <c r="Z9" s="6">
        <f t="shared" si="4"/>
        <v>1.123436659269698</v>
      </c>
      <c r="AC9" t="s">
        <v>1747</v>
      </c>
      <c r="AD9" s="6">
        <v>42.212310065000004</v>
      </c>
      <c r="AF9" s="7" t="s">
        <v>1746</v>
      </c>
      <c r="AG9" s="9">
        <v>80.365486700218753</v>
      </c>
    </row>
    <row r="10" spans="1:33" x14ac:dyDescent="0.25">
      <c r="A10" t="s">
        <v>35</v>
      </c>
      <c r="B10" t="s">
        <v>36</v>
      </c>
      <c r="C10">
        <v>1011</v>
      </c>
      <c r="D10">
        <v>121</v>
      </c>
      <c r="E10" t="s">
        <v>11</v>
      </c>
      <c r="F10" t="s">
        <v>37</v>
      </c>
      <c r="G10" t="s">
        <v>38</v>
      </c>
      <c r="H10" t="s">
        <v>39</v>
      </c>
      <c r="I10" t="s">
        <v>15</v>
      </c>
      <c r="N10" s="4">
        <f t="shared" si="0"/>
        <v>152175.18199400001</v>
      </c>
      <c r="O10" s="4">
        <f t="shared" si="1"/>
        <v>1283943.3744640001</v>
      </c>
      <c r="P10" s="4">
        <f t="shared" si="3"/>
        <v>1436118.5564580001</v>
      </c>
      <c r="S10" s="4">
        <f t="shared" si="2"/>
        <v>57.615708753136431</v>
      </c>
      <c r="AF10" s="7" t="s">
        <v>1747</v>
      </c>
      <c r="AG10" s="10">
        <v>83.972866358890315</v>
      </c>
    </row>
    <row r="11" spans="1:33" x14ac:dyDescent="0.25">
      <c r="A11" t="s">
        <v>9</v>
      </c>
      <c r="B11" t="s">
        <v>40</v>
      </c>
      <c r="C11">
        <v>1139</v>
      </c>
      <c r="D11">
        <v>128</v>
      </c>
      <c r="E11" t="s">
        <v>11</v>
      </c>
      <c r="F11" t="s">
        <v>41</v>
      </c>
      <c r="G11" t="s">
        <v>13</v>
      </c>
      <c r="H11" t="s">
        <v>42</v>
      </c>
      <c r="I11" t="s">
        <v>15</v>
      </c>
      <c r="N11" s="4">
        <f t="shared" si="0"/>
        <v>107440.335924</v>
      </c>
      <c r="O11" s="4">
        <f t="shared" si="1"/>
        <v>0</v>
      </c>
      <c r="P11" s="4">
        <f t="shared" si="3"/>
        <v>107440.335924</v>
      </c>
      <c r="S11" s="4">
        <f t="shared" si="2"/>
        <v>4.8561326435490484</v>
      </c>
    </row>
    <row r="12" spans="1:33" x14ac:dyDescent="0.25">
      <c r="A12" t="s">
        <v>35</v>
      </c>
      <c r="B12" t="s">
        <v>43</v>
      </c>
      <c r="C12">
        <v>1260</v>
      </c>
      <c r="D12">
        <v>121</v>
      </c>
      <c r="E12" t="s">
        <v>11</v>
      </c>
      <c r="F12" t="s">
        <v>44</v>
      </c>
      <c r="G12" t="s">
        <v>45</v>
      </c>
      <c r="H12" t="s">
        <v>46</v>
      </c>
      <c r="I12" t="s">
        <v>15</v>
      </c>
      <c r="N12" s="4">
        <f t="shared" si="0"/>
        <v>101450.168158</v>
      </c>
      <c r="O12" s="4">
        <f t="shared" si="1"/>
        <v>1283945.300601</v>
      </c>
      <c r="P12" s="4">
        <f t="shared" si="3"/>
        <v>1385395.4687590001</v>
      </c>
      <c r="S12" s="4">
        <f t="shared" si="2"/>
        <v>69.269773437950008</v>
      </c>
    </row>
    <row r="13" spans="1:33" x14ac:dyDescent="0.25">
      <c r="A13" t="s">
        <v>9</v>
      </c>
      <c r="B13" t="s">
        <v>47</v>
      </c>
      <c r="C13">
        <v>1388</v>
      </c>
      <c r="D13">
        <v>128</v>
      </c>
      <c r="E13" t="s">
        <v>11</v>
      </c>
      <c r="F13" t="s">
        <v>48</v>
      </c>
      <c r="G13" t="s">
        <v>13</v>
      </c>
      <c r="H13" t="s">
        <v>49</v>
      </c>
      <c r="I13" t="s">
        <v>15</v>
      </c>
      <c r="N13" s="4">
        <f t="shared" si="0"/>
        <v>53720.167962</v>
      </c>
      <c r="O13" s="4">
        <f t="shared" si="1"/>
        <v>0</v>
      </c>
      <c r="P13" s="4">
        <f t="shared" si="3"/>
        <v>53720.167962</v>
      </c>
      <c r="S13" s="4">
        <f t="shared" si="2"/>
        <v>2.95887274330381</v>
      </c>
    </row>
    <row r="14" spans="1:33" x14ac:dyDescent="0.25">
      <c r="A14" t="s">
        <v>35</v>
      </c>
      <c r="B14" t="s">
        <v>50</v>
      </c>
      <c r="C14">
        <v>1512</v>
      </c>
      <c r="D14">
        <v>124</v>
      </c>
      <c r="E14" t="s">
        <v>11</v>
      </c>
      <c r="F14" t="s">
        <v>51</v>
      </c>
      <c r="G14" t="s">
        <v>45</v>
      </c>
      <c r="H14" t="s">
        <v>52</v>
      </c>
      <c r="I14" t="s">
        <v>15</v>
      </c>
      <c r="N14" s="4">
        <f t="shared" si="0"/>
        <v>52007.869139000002</v>
      </c>
      <c r="O14" s="4">
        <f t="shared" si="1"/>
        <v>1283945.300601</v>
      </c>
      <c r="P14" s="4">
        <f t="shared" si="3"/>
        <v>1335953.16974</v>
      </c>
      <c r="S14" s="4">
        <f t="shared" si="2"/>
        <v>80.157190184400008</v>
      </c>
    </row>
    <row r="15" spans="1:33" x14ac:dyDescent="0.25">
      <c r="A15" t="s">
        <v>9</v>
      </c>
      <c r="B15" t="s">
        <v>53</v>
      </c>
      <c r="C15">
        <v>73</v>
      </c>
      <c r="D15">
        <v>123</v>
      </c>
      <c r="E15" t="s">
        <v>11</v>
      </c>
      <c r="F15" t="s">
        <v>54</v>
      </c>
      <c r="G15" t="s">
        <v>13</v>
      </c>
      <c r="H15" t="s">
        <v>55</v>
      </c>
      <c r="I15" t="s">
        <v>56</v>
      </c>
    </row>
    <row r="16" spans="1:33" x14ac:dyDescent="0.25">
      <c r="A16" t="s">
        <v>9</v>
      </c>
      <c r="B16" t="s">
        <v>57</v>
      </c>
      <c r="C16">
        <v>201</v>
      </c>
      <c r="D16">
        <v>128</v>
      </c>
      <c r="E16" t="s">
        <v>11</v>
      </c>
      <c r="F16" t="s">
        <v>58</v>
      </c>
      <c r="G16" t="s">
        <v>13</v>
      </c>
      <c r="H16" t="s">
        <v>59</v>
      </c>
      <c r="I16" t="s">
        <v>56</v>
      </c>
      <c r="O16" s="6"/>
    </row>
    <row r="17" spans="1:15" x14ac:dyDescent="0.25">
      <c r="A17" t="s">
        <v>9</v>
      </c>
      <c r="B17" t="s">
        <v>60</v>
      </c>
      <c r="C17">
        <v>323</v>
      </c>
      <c r="D17">
        <v>122</v>
      </c>
      <c r="E17" t="s">
        <v>11</v>
      </c>
      <c r="F17" t="s">
        <v>61</v>
      </c>
      <c r="G17" t="s">
        <v>13</v>
      </c>
      <c r="H17" t="s">
        <v>62</v>
      </c>
      <c r="I17" t="s">
        <v>56</v>
      </c>
      <c r="O17" s="6"/>
    </row>
    <row r="18" spans="1:15" x14ac:dyDescent="0.25">
      <c r="A18" t="s">
        <v>9</v>
      </c>
      <c r="B18" t="s">
        <v>63</v>
      </c>
      <c r="C18">
        <v>450</v>
      </c>
      <c r="D18">
        <v>127</v>
      </c>
      <c r="E18" t="s">
        <v>11</v>
      </c>
      <c r="F18" t="s">
        <v>64</v>
      </c>
      <c r="G18" t="s">
        <v>13</v>
      </c>
      <c r="H18" t="s">
        <v>65</v>
      </c>
      <c r="I18" t="s">
        <v>56</v>
      </c>
      <c r="O18" s="6"/>
    </row>
    <row r="19" spans="1:15" x14ac:dyDescent="0.25">
      <c r="A19" t="s">
        <v>9</v>
      </c>
      <c r="B19" t="s">
        <v>66</v>
      </c>
      <c r="C19">
        <v>573</v>
      </c>
      <c r="D19">
        <v>123</v>
      </c>
      <c r="E19" t="s">
        <v>11</v>
      </c>
      <c r="F19" t="s">
        <v>54</v>
      </c>
      <c r="G19" t="s">
        <v>13</v>
      </c>
      <c r="H19" t="s">
        <v>67</v>
      </c>
      <c r="I19" t="s">
        <v>56</v>
      </c>
      <c r="O19" s="6"/>
    </row>
    <row r="20" spans="1:15" x14ac:dyDescent="0.25">
      <c r="A20" t="s">
        <v>9</v>
      </c>
      <c r="B20" t="s">
        <v>68</v>
      </c>
      <c r="C20">
        <v>700</v>
      </c>
      <c r="D20">
        <v>127</v>
      </c>
      <c r="E20" t="s">
        <v>11</v>
      </c>
      <c r="F20" t="s">
        <v>64</v>
      </c>
      <c r="G20" t="s">
        <v>13</v>
      </c>
      <c r="H20" t="s">
        <v>69</v>
      </c>
      <c r="I20" t="s">
        <v>56</v>
      </c>
      <c r="O20" s="6"/>
    </row>
    <row r="21" spans="1:15" x14ac:dyDescent="0.25">
      <c r="A21" t="s">
        <v>9</v>
      </c>
      <c r="B21" t="s">
        <v>70</v>
      </c>
      <c r="C21">
        <v>826</v>
      </c>
      <c r="D21">
        <v>126</v>
      </c>
      <c r="E21" t="s">
        <v>11</v>
      </c>
      <c r="F21" t="s">
        <v>71</v>
      </c>
      <c r="G21" t="s">
        <v>13</v>
      </c>
      <c r="H21" t="s">
        <v>72</v>
      </c>
      <c r="I21" t="s">
        <v>56</v>
      </c>
      <c r="O21" s="6"/>
    </row>
    <row r="22" spans="1:15" x14ac:dyDescent="0.25">
      <c r="A22" t="s">
        <v>9</v>
      </c>
      <c r="B22" t="s">
        <v>73</v>
      </c>
      <c r="C22">
        <v>951</v>
      </c>
      <c r="D22">
        <v>125</v>
      </c>
      <c r="E22" t="s">
        <v>11</v>
      </c>
      <c r="F22" t="s">
        <v>74</v>
      </c>
      <c r="G22" t="s">
        <v>13</v>
      </c>
      <c r="H22" t="s">
        <v>75</v>
      </c>
      <c r="I22" t="s">
        <v>56</v>
      </c>
      <c r="O22" s="6"/>
    </row>
    <row r="23" spans="1:15" x14ac:dyDescent="0.25">
      <c r="A23" t="s">
        <v>35</v>
      </c>
      <c r="B23" t="s">
        <v>76</v>
      </c>
      <c r="C23">
        <v>1074</v>
      </c>
      <c r="D23">
        <v>123</v>
      </c>
      <c r="E23" t="s">
        <v>11</v>
      </c>
      <c r="F23" t="s">
        <v>54</v>
      </c>
      <c r="G23" t="s">
        <v>77</v>
      </c>
      <c r="H23" t="s">
        <v>78</v>
      </c>
      <c r="I23" t="s">
        <v>56</v>
      </c>
      <c r="O23" s="6"/>
    </row>
    <row r="24" spans="1:15" x14ac:dyDescent="0.25">
      <c r="A24" t="s">
        <v>9</v>
      </c>
      <c r="B24" t="s">
        <v>79</v>
      </c>
      <c r="C24">
        <v>1200</v>
      </c>
      <c r="D24">
        <v>126</v>
      </c>
      <c r="E24" t="s">
        <v>11</v>
      </c>
      <c r="F24" t="s">
        <v>80</v>
      </c>
      <c r="G24" t="s">
        <v>13</v>
      </c>
      <c r="H24" t="s">
        <v>81</v>
      </c>
      <c r="I24" t="s">
        <v>56</v>
      </c>
    </row>
    <row r="25" spans="1:15" x14ac:dyDescent="0.25">
      <c r="A25" t="s">
        <v>35</v>
      </c>
      <c r="B25" t="s">
        <v>82</v>
      </c>
      <c r="C25">
        <v>1324</v>
      </c>
      <c r="D25">
        <v>124</v>
      </c>
      <c r="E25" t="s">
        <v>11</v>
      </c>
      <c r="F25" t="s">
        <v>83</v>
      </c>
      <c r="G25" t="s">
        <v>84</v>
      </c>
      <c r="H25" t="s">
        <v>85</v>
      </c>
      <c r="I25" t="s">
        <v>56</v>
      </c>
    </row>
    <row r="26" spans="1:15" x14ac:dyDescent="0.25">
      <c r="A26" t="s">
        <v>9</v>
      </c>
      <c r="B26" t="s">
        <v>86</v>
      </c>
      <c r="C26">
        <v>1451</v>
      </c>
      <c r="D26">
        <v>127</v>
      </c>
      <c r="E26" t="s">
        <v>11</v>
      </c>
      <c r="F26" t="s">
        <v>87</v>
      </c>
      <c r="G26" t="s">
        <v>13</v>
      </c>
      <c r="H26" t="s">
        <v>88</v>
      </c>
      <c r="I26" t="s">
        <v>56</v>
      </c>
    </row>
    <row r="27" spans="1:15" x14ac:dyDescent="0.25">
      <c r="A27" t="s">
        <v>35</v>
      </c>
      <c r="B27" t="s">
        <v>89</v>
      </c>
      <c r="C27">
        <v>1573</v>
      </c>
      <c r="D27">
        <v>122</v>
      </c>
      <c r="E27" t="s">
        <v>11</v>
      </c>
      <c r="F27" t="s">
        <v>90</v>
      </c>
      <c r="G27" t="s">
        <v>84</v>
      </c>
      <c r="H27" t="s">
        <v>91</v>
      </c>
      <c r="I27" t="s">
        <v>56</v>
      </c>
    </row>
    <row r="28" spans="1:15" x14ac:dyDescent="0.25">
      <c r="A28" t="s">
        <v>9</v>
      </c>
      <c r="B28" t="s">
        <v>53</v>
      </c>
      <c r="C28">
        <v>73</v>
      </c>
      <c r="D28">
        <v>123</v>
      </c>
      <c r="E28" t="s">
        <v>92</v>
      </c>
      <c r="F28" t="s">
        <v>93</v>
      </c>
      <c r="G28" t="s">
        <v>13</v>
      </c>
      <c r="H28" t="s">
        <v>94</v>
      </c>
      <c r="I28" t="s">
        <v>95</v>
      </c>
    </row>
    <row r="29" spans="1:15" x14ac:dyDescent="0.25">
      <c r="A29" t="s">
        <v>9</v>
      </c>
      <c r="B29" t="s">
        <v>57</v>
      </c>
      <c r="C29">
        <v>201</v>
      </c>
      <c r="D29">
        <v>128</v>
      </c>
      <c r="E29" t="s">
        <v>96</v>
      </c>
      <c r="F29" t="s">
        <v>97</v>
      </c>
      <c r="G29" t="s">
        <v>13</v>
      </c>
      <c r="H29" t="s">
        <v>98</v>
      </c>
      <c r="I29" t="s">
        <v>95</v>
      </c>
    </row>
    <row r="30" spans="1:15" x14ac:dyDescent="0.25">
      <c r="A30" t="s">
        <v>9</v>
      </c>
      <c r="B30" t="s">
        <v>60</v>
      </c>
      <c r="C30">
        <v>323</v>
      </c>
      <c r="D30">
        <v>122</v>
      </c>
      <c r="E30" t="s">
        <v>99</v>
      </c>
      <c r="F30" t="s">
        <v>100</v>
      </c>
      <c r="G30" t="s">
        <v>13</v>
      </c>
      <c r="H30" t="s">
        <v>101</v>
      </c>
      <c r="I30" t="s">
        <v>95</v>
      </c>
    </row>
    <row r="31" spans="1:15" x14ac:dyDescent="0.25">
      <c r="A31" t="s">
        <v>9</v>
      </c>
      <c r="B31" t="s">
        <v>63</v>
      </c>
      <c r="C31">
        <v>450</v>
      </c>
      <c r="D31">
        <v>127</v>
      </c>
      <c r="E31" t="s">
        <v>102</v>
      </c>
      <c r="F31" t="s">
        <v>103</v>
      </c>
      <c r="G31" t="s">
        <v>13</v>
      </c>
      <c r="H31" t="s">
        <v>104</v>
      </c>
      <c r="I31" t="s">
        <v>95</v>
      </c>
    </row>
    <row r="32" spans="1:15" x14ac:dyDescent="0.25">
      <c r="A32" t="s">
        <v>9</v>
      </c>
      <c r="B32" t="s">
        <v>66</v>
      </c>
      <c r="C32">
        <v>573</v>
      </c>
      <c r="D32">
        <v>123</v>
      </c>
      <c r="E32" t="s">
        <v>105</v>
      </c>
      <c r="F32" t="s">
        <v>106</v>
      </c>
      <c r="G32" t="s">
        <v>13</v>
      </c>
      <c r="H32" t="s">
        <v>107</v>
      </c>
      <c r="I32" t="s">
        <v>95</v>
      </c>
    </row>
    <row r="33" spans="1:9" x14ac:dyDescent="0.25">
      <c r="A33" t="s">
        <v>9</v>
      </c>
      <c r="B33" t="s">
        <v>68</v>
      </c>
      <c r="C33">
        <v>700</v>
      </c>
      <c r="D33">
        <v>127</v>
      </c>
      <c r="E33" t="s">
        <v>108</v>
      </c>
      <c r="F33" t="s">
        <v>109</v>
      </c>
      <c r="G33" t="s">
        <v>13</v>
      </c>
      <c r="H33" t="s">
        <v>110</v>
      </c>
      <c r="I33" t="s">
        <v>95</v>
      </c>
    </row>
    <row r="34" spans="1:9" x14ac:dyDescent="0.25">
      <c r="A34" t="s">
        <v>9</v>
      </c>
      <c r="B34" t="s">
        <v>70</v>
      </c>
      <c r="C34">
        <v>826</v>
      </c>
      <c r="D34">
        <v>126</v>
      </c>
      <c r="E34" t="s">
        <v>111</v>
      </c>
      <c r="F34" t="s">
        <v>112</v>
      </c>
      <c r="G34" t="s">
        <v>13</v>
      </c>
      <c r="H34" t="s">
        <v>113</v>
      </c>
      <c r="I34" t="s">
        <v>95</v>
      </c>
    </row>
    <row r="35" spans="1:9" x14ac:dyDescent="0.25">
      <c r="A35" t="s">
        <v>9</v>
      </c>
      <c r="B35" t="s">
        <v>73</v>
      </c>
      <c r="C35">
        <v>951</v>
      </c>
      <c r="D35">
        <v>125</v>
      </c>
      <c r="E35" t="s">
        <v>114</v>
      </c>
      <c r="F35" t="s">
        <v>115</v>
      </c>
      <c r="G35" t="s">
        <v>13</v>
      </c>
      <c r="H35" t="s">
        <v>116</v>
      </c>
      <c r="I35" t="s">
        <v>95</v>
      </c>
    </row>
    <row r="36" spans="1:9" x14ac:dyDescent="0.25">
      <c r="A36" t="s">
        <v>35</v>
      </c>
      <c r="B36" t="s">
        <v>76</v>
      </c>
      <c r="C36">
        <v>1074</v>
      </c>
      <c r="D36">
        <v>123</v>
      </c>
      <c r="E36" t="s">
        <v>117</v>
      </c>
      <c r="F36" t="s">
        <v>118</v>
      </c>
      <c r="G36" t="s">
        <v>119</v>
      </c>
      <c r="H36" t="s">
        <v>120</v>
      </c>
      <c r="I36" t="s">
        <v>95</v>
      </c>
    </row>
    <row r="37" spans="1:9" x14ac:dyDescent="0.25">
      <c r="A37" t="s">
        <v>9</v>
      </c>
      <c r="B37" t="s">
        <v>79</v>
      </c>
      <c r="C37">
        <v>1200</v>
      </c>
      <c r="D37">
        <v>126</v>
      </c>
      <c r="E37" t="s">
        <v>121</v>
      </c>
      <c r="F37" t="s">
        <v>122</v>
      </c>
      <c r="G37" t="s">
        <v>13</v>
      </c>
      <c r="H37" t="s">
        <v>123</v>
      </c>
      <c r="I37" t="s">
        <v>95</v>
      </c>
    </row>
    <row r="38" spans="1:9" x14ac:dyDescent="0.25">
      <c r="A38" t="s">
        <v>35</v>
      </c>
      <c r="B38" t="s">
        <v>82</v>
      </c>
      <c r="C38">
        <v>1324</v>
      </c>
      <c r="D38">
        <v>124</v>
      </c>
      <c r="E38" t="s">
        <v>124</v>
      </c>
      <c r="F38" t="s">
        <v>125</v>
      </c>
      <c r="G38" t="s">
        <v>126</v>
      </c>
      <c r="H38" t="s">
        <v>127</v>
      </c>
      <c r="I38" t="s">
        <v>95</v>
      </c>
    </row>
    <row r="39" spans="1:9" x14ac:dyDescent="0.25">
      <c r="A39" t="s">
        <v>9</v>
      </c>
      <c r="B39" t="s">
        <v>86</v>
      </c>
      <c r="C39">
        <v>1451</v>
      </c>
      <c r="D39">
        <v>127</v>
      </c>
      <c r="E39" t="s">
        <v>128</v>
      </c>
      <c r="F39" t="s">
        <v>129</v>
      </c>
      <c r="G39" t="s">
        <v>13</v>
      </c>
      <c r="H39" t="s">
        <v>130</v>
      </c>
      <c r="I39" t="s">
        <v>95</v>
      </c>
    </row>
    <row r="40" spans="1:9" x14ac:dyDescent="0.25">
      <c r="A40" t="s">
        <v>35</v>
      </c>
      <c r="B40" t="s">
        <v>89</v>
      </c>
      <c r="C40">
        <v>1573</v>
      </c>
      <c r="D40">
        <v>122</v>
      </c>
      <c r="E40" t="s">
        <v>131</v>
      </c>
      <c r="F40" t="s">
        <v>132</v>
      </c>
      <c r="G40" t="s">
        <v>126</v>
      </c>
      <c r="H40" t="s">
        <v>133</v>
      </c>
      <c r="I40" t="s">
        <v>95</v>
      </c>
    </row>
    <row r="41" spans="1:9" x14ac:dyDescent="0.25">
      <c r="A41" t="s">
        <v>9</v>
      </c>
      <c r="B41" t="s">
        <v>134</v>
      </c>
      <c r="C41">
        <v>32</v>
      </c>
      <c r="D41">
        <v>32</v>
      </c>
      <c r="E41" t="s">
        <v>11</v>
      </c>
      <c r="F41" t="s">
        <v>135</v>
      </c>
      <c r="G41" t="s">
        <v>13</v>
      </c>
      <c r="H41" t="s">
        <v>136</v>
      </c>
      <c r="I41" t="s">
        <v>137</v>
      </c>
    </row>
    <row r="42" spans="1:9" x14ac:dyDescent="0.25">
      <c r="A42" t="s">
        <v>9</v>
      </c>
      <c r="B42" t="s">
        <v>138</v>
      </c>
      <c r="C42">
        <v>159</v>
      </c>
      <c r="D42">
        <v>127</v>
      </c>
      <c r="E42" t="s">
        <v>11</v>
      </c>
      <c r="F42" t="s">
        <v>139</v>
      </c>
      <c r="G42" t="s">
        <v>13</v>
      </c>
      <c r="H42" t="s">
        <v>140</v>
      </c>
      <c r="I42" t="s">
        <v>137</v>
      </c>
    </row>
    <row r="43" spans="1:9" x14ac:dyDescent="0.25">
      <c r="A43" t="s">
        <v>9</v>
      </c>
      <c r="B43" t="s">
        <v>141</v>
      </c>
      <c r="C43">
        <v>283</v>
      </c>
      <c r="D43">
        <v>124</v>
      </c>
      <c r="E43" t="s">
        <v>11</v>
      </c>
      <c r="F43" t="s">
        <v>142</v>
      </c>
      <c r="G43" t="s">
        <v>13</v>
      </c>
      <c r="H43" t="s">
        <v>143</v>
      </c>
      <c r="I43" t="s">
        <v>137</v>
      </c>
    </row>
    <row r="44" spans="1:9" x14ac:dyDescent="0.25">
      <c r="A44" t="s">
        <v>9</v>
      </c>
      <c r="B44" t="s">
        <v>144</v>
      </c>
      <c r="C44">
        <v>409</v>
      </c>
      <c r="D44">
        <v>126</v>
      </c>
      <c r="E44" t="s">
        <v>11</v>
      </c>
      <c r="F44" t="s">
        <v>145</v>
      </c>
      <c r="G44" t="s">
        <v>13</v>
      </c>
      <c r="H44" t="s">
        <v>146</v>
      </c>
      <c r="I44" t="s">
        <v>137</v>
      </c>
    </row>
    <row r="45" spans="1:9" x14ac:dyDescent="0.25">
      <c r="A45" t="s">
        <v>9</v>
      </c>
      <c r="B45" t="s">
        <v>147</v>
      </c>
      <c r="C45">
        <v>532</v>
      </c>
      <c r="D45">
        <v>123</v>
      </c>
      <c r="E45" t="s">
        <v>11</v>
      </c>
      <c r="F45" t="s">
        <v>148</v>
      </c>
      <c r="G45" t="s">
        <v>13</v>
      </c>
      <c r="H45" t="s">
        <v>149</v>
      </c>
      <c r="I45" t="s">
        <v>137</v>
      </c>
    </row>
    <row r="46" spans="1:9" x14ac:dyDescent="0.25">
      <c r="A46" t="s">
        <v>9</v>
      </c>
      <c r="B46" t="s">
        <v>150</v>
      </c>
      <c r="C46">
        <v>659</v>
      </c>
      <c r="D46">
        <v>127</v>
      </c>
      <c r="E46" t="s">
        <v>11</v>
      </c>
      <c r="F46" t="s">
        <v>139</v>
      </c>
      <c r="G46" t="s">
        <v>13</v>
      </c>
      <c r="H46" t="s">
        <v>151</v>
      </c>
      <c r="I46" t="s">
        <v>137</v>
      </c>
    </row>
    <row r="47" spans="1:9" x14ac:dyDescent="0.25">
      <c r="A47" t="s">
        <v>9</v>
      </c>
      <c r="B47" t="s">
        <v>152</v>
      </c>
      <c r="C47">
        <v>785</v>
      </c>
      <c r="D47">
        <v>126</v>
      </c>
      <c r="E47" t="s">
        <v>11</v>
      </c>
      <c r="F47" t="s">
        <v>145</v>
      </c>
      <c r="G47" t="s">
        <v>13</v>
      </c>
      <c r="H47" t="s">
        <v>153</v>
      </c>
      <c r="I47" t="s">
        <v>137</v>
      </c>
    </row>
    <row r="48" spans="1:9" x14ac:dyDescent="0.25">
      <c r="A48" t="s">
        <v>9</v>
      </c>
      <c r="B48" t="s">
        <v>154</v>
      </c>
      <c r="C48">
        <v>910</v>
      </c>
      <c r="D48">
        <v>125</v>
      </c>
      <c r="E48" t="s">
        <v>11</v>
      </c>
      <c r="F48" t="s">
        <v>155</v>
      </c>
      <c r="G48" t="s">
        <v>13</v>
      </c>
      <c r="H48" t="s">
        <v>156</v>
      </c>
      <c r="I48" t="s">
        <v>137</v>
      </c>
    </row>
    <row r="49" spans="1:9" x14ac:dyDescent="0.25">
      <c r="A49" t="s">
        <v>9</v>
      </c>
      <c r="B49" t="s">
        <v>157</v>
      </c>
      <c r="C49">
        <v>1032</v>
      </c>
      <c r="D49">
        <v>122</v>
      </c>
      <c r="E49" t="s">
        <v>11</v>
      </c>
      <c r="F49" t="s">
        <v>158</v>
      </c>
      <c r="G49" t="s">
        <v>13</v>
      </c>
      <c r="H49" t="s">
        <v>159</v>
      </c>
      <c r="I49" t="s">
        <v>137</v>
      </c>
    </row>
    <row r="50" spans="1:9" x14ac:dyDescent="0.25">
      <c r="A50" t="s">
        <v>9</v>
      </c>
      <c r="B50" t="s">
        <v>160</v>
      </c>
      <c r="C50">
        <v>1158</v>
      </c>
      <c r="D50">
        <v>126</v>
      </c>
      <c r="E50" t="s">
        <v>11</v>
      </c>
      <c r="F50" t="s">
        <v>145</v>
      </c>
      <c r="G50" t="s">
        <v>13</v>
      </c>
      <c r="H50" t="s">
        <v>161</v>
      </c>
      <c r="I50" t="s">
        <v>137</v>
      </c>
    </row>
    <row r="51" spans="1:9" x14ac:dyDescent="0.25">
      <c r="A51" t="s">
        <v>9</v>
      </c>
      <c r="B51" t="s">
        <v>162</v>
      </c>
      <c r="C51">
        <v>1281</v>
      </c>
      <c r="D51">
        <v>123</v>
      </c>
      <c r="E51" t="s">
        <v>11</v>
      </c>
      <c r="F51" t="s">
        <v>148</v>
      </c>
      <c r="G51" t="s">
        <v>13</v>
      </c>
      <c r="H51" t="s">
        <v>163</v>
      </c>
      <c r="I51" t="s">
        <v>137</v>
      </c>
    </row>
    <row r="52" spans="1:9" x14ac:dyDescent="0.25">
      <c r="A52" t="s">
        <v>9</v>
      </c>
      <c r="B52" t="s">
        <v>164</v>
      </c>
      <c r="C52">
        <v>1409</v>
      </c>
      <c r="D52">
        <v>128</v>
      </c>
      <c r="E52" t="s">
        <v>11</v>
      </c>
      <c r="F52" t="s">
        <v>165</v>
      </c>
      <c r="G52" t="s">
        <v>13</v>
      </c>
      <c r="H52" t="s">
        <v>166</v>
      </c>
      <c r="I52" t="s">
        <v>137</v>
      </c>
    </row>
    <row r="53" spans="1:9" x14ac:dyDescent="0.25">
      <c r="A53" t="s">
        <v>9</v>
      </c>
      <c r="B53" t="s">
        <v>167</v>
      </c>
      <c r="C53">
        <v>1532</v>
      </c>
      <c r="D53">
        <v>123</v>
      </c>
      <c r="E53" t="s">
        <v>11</v>
      </c>
      <c r="F53" t="s">
        <v>148</v>
      </c>
      <c r="G53" t="s">
        <v>13</v>
      </c>
      <c r="H53" t="s">
        <v>168</v>
      </c>
      <c r="I53" t="s">
        <v>137</v>
      </c>
    </row>
    <row r="54" spans="1:9" x14ac:dyDescent="0.25">
      <c r="A54" t="s">
        <v>9</v>
      </c>
      <c r="B54" t="s">
        <v>169</v>
      </c>
      <c r="C54">
        <v>1660</v>
      </c>
      <c r="D54">
        <v>128</v>
      </c>
      <c r="E54" t="s">
        <v>11</v>
      </c>
      <c r="F54" t="s">
        <v>165</v>
      </c>
      <c r="G54" t="s">
        <v>13</v>
      </c>
      <c r="H54" t="s">
        <v>170</v>
      </c>
      <c r="I54" t="s">
        <v>137</v>
      </c>
    </row>
    <row r="55" spans="1:9" x14ac:dyDescent="0.25">
      <c r="A55" t="s">
        <v>9</v>
      </c>
      <c r="B55" t="s">
        <v>171</v>
      </c>
      <c r="C55">
        <v>1785</v>
      </c>
      <c r="D55">
        <v>125</v>
      </c>
      <c r="E55" t="s">
        <v>11</v>
      </c>
      <c r="F55" t="s">
        <v>155</v>
      </c>
      <c r="G55" t="s">
        <v>13</v>
      </c>
      <c r="H55" t="s">
        <v>172</v>
      </c>
      <c r="I55" t="s">
        <v>137</v>
      </c>
    </row>
    <row r="56" spans="1:9" x14ac:dyDescent="0.25">
      <c r="A56" t="s">
        <v>9</v>
      </c>
      <c r="B56" t="s">
        <v>173</v>
      </c>
      <c r="C56">
        <v>1912</v>
      </c>
      <c r="D56">
        <v>127</v>
      </c>
      <c r="E56" t="s">
        <v>11</v>
      </c>
      <c r="F56" t="s">
        <v>139</v>
      </c>
      <c r="G56" t="s">
        <v>13</v>
      </c>
      <c r="H56" t="s">
        <v>174</v>
      </c>
      <c r="I56" t="s">
        <v>137</v>
      </c>
    </row>
    <row r="57" spans="1:9" x14ac:dyDescent="0.25">
      <c r="A57" t="s">
        <v>9</v>
      </c>
      <c r="B57" t="s">
        <v>175</v>
      </c>
      <c r="C57">
        <v>2038</v>
      </c>
      <c r="D57">
        <v>126</v>
      </c>
      <c r="E57" t="s">
        <v>11</v>
      </c>
      <c r="F57" t="s">
        <v>145</v>
      </c>
      <c r="G57" t="s">
        <v>13</v>
      </c>
      <c r="H57" t="s">
        <v>176</v>
      </c>
      <c r="I57" t="s">
        <v>137</v>
      </c>
    </row>
    <row r="58" spans="1:9" x14ac:dyDescent="0.25">
      <c r="A58" t="s">
        <v>9</v>
      </c>
      <c r="B58" t="s">
        <v>177</v>
      </c>
      <c r="C58">
        <v>2164</v>
      </c>
      <c r="D58">
        <v>126</v>
      </c>
      <c r="E58" t="s">
        <v>11</v>
      </c>
      <c r="F58" t="s">
        <v>145</v>
      </c>
      <c r="G58" t="s">
        <v>13</v>
      </c>
      <c r="H58" t="s">
        <v>178</v>
      </c>
      <c r="I58" t="s">
        <v>137</v>
      </c>
    </row>
    <row r="59" spans="1:9" x14ac:dyDescent="0.25">
      <c r="A59" t="s">
        <v>9</v>
      </c>
      <c r="B59" t="s">
        <v>179</v>
      </c>
      <c r="C59">
        <v>2289</v>
      </c>
      <c r="D59">
        <v>125</v>
      </c>
      <c r="E59" t="s">
        <v>11</v>
      </c>
      <c r="F59" t="s">
        <v>155</v>
      </c>
      <c r="G59" t="s">
        <v>13</v>
      </c>
      <c r="H59" t="s">
        <v>180</v>
      </c>
      <c r="I59" t="s">
        <v>137</v>
      </c>
    </row>
    <row r="60" spans="1:9" x14ac:dyDescent="0.25">
      <c r="A60" t="s">
        <v>9</v>
      </c>
      <c r="B60" t="s">
        <v>181</v>
      </c>
      <c r="C60">
        <v>2414</v>
      </c>
      <c r="D60">
        <v>125</v>
      </c>
      <c r="E60" t="s">
        <v>11</v>
      </c>
      <c r="F60" t="s">
        <v>155</v>
      </c>
      <c r="G60" t="s">
        <v>13</v>
      </c>
      <c r="H60" t="s">
        <v>182</v>
      </c>
      <c r="I60" t="s">
        <v>137</v>
      </c>
    </row>
    <row r="61" spans="1:9" x14ac:dyDescent="0.25">
      <c r="A61" t="s">
        <v>9</v>
      </c>
      <c r="B61" t="s">
        <v>183</v>
      </c>
      <c r="C61">
        <v>2536</v>
      </c>
      <c r="D61">
        <v>122</v>
      </c>
      <c r="E61" t="s">
        <v>11</v>
      </c>
      <c r="F61" t="s">
        <v>158</v>
      </c>
      <c r="G61" t="s">
        <v>13</v>
      </c>
      <c r="H61" t="s">
        <v>184</v>
      </c>
      <c r="I61" t="s">
        <v>137</v>
      </c>
    </row>
    <row r="62" spans="1:9" x14ac:dyDescent="0.25">
      <c r="A62" t="s">
        <v>9</v>
      </c>
      <c r="B62" t="s">
        <v>185</v>
      </c>
      <c r="C62">
        <v>2662</v>
      </c>
      <c r="D62">
        <v>126</v>
      </c>
      <c r="E62" t="s">
        <v>11</v>
      </c>
      <c r="F62" t="s">
        <v>145</v>
      </c>
      <c r="G62" t="s">
        <v>13</v>
      </c>
      <c r="H62" t="s">
        <v>186</v>
      </c>
      <c r="I62" t="s">
        <v>137</v>
      </c>
    </row>
    <row r="63" spans="1:9" x14ac:dyDescent="0.25">
      <c r="A63" t="s">
        <v>9</v>
      </c>
      <c r="B63" t="s">
        <v>187</v>
      </c>
      <c r="C63">
        <v>2785</v>
      </c>
      <c r="D63">
        <v>123</v>
      </c>
      <c r="E63" t="s">
        <v>11</v>
      </c>
      <c r="F63" t="s">
        <v>148</v>
      </c>
      <c r="G63" t="s">
        <v>13</v>
      </c>
      <c r="H63" t="s">
        <v>188</v>
      </c>
      <c r="I63" t="s">
        <v>137</v>
      </c>
    </row>
    <row r="64" spans="1:9" x14ac:dyDescent="0.25">
      <c r="A64" t="s">
        <v>9</v>
      </c>
      <c r="B64" t="s">
        <v>189</v>
      </c>
      <c r="C64">
        <v>2913</v>
      </c>
      <c r="D64">
        <v>128</v>
      </c>
      <c r="E64" t="s">
        <v>11</v>
      </c>
      <c r="F64" t="s">
        <v>165</v>
      </c>
      <c r="G64" t="s">
        <v>13</v>
      </c>
      <c r="H64" t="s">
        <v>190</v>
      </c>
      <c r="I64" t="s">
        <v>137</v>
      </c>
    </row>
    <row r="65" spans="1:9" x14ac:dyDescent="0.25">
      <c r="A65" t="s">
        <v>9</v>
      </c>
      <c r="B65" t="s">
        <v>191</v>
      </c>
      <c r="C65">
        <v>3037</v>
      </c>
      <c r="D65">
        <v>124</v>
      </c>
      <c r="E65" t="s">
        <v>11</v>
      </c>
      <c r="F65" t="s">
        <v>142</v>
      </c>
      <c r="G65" t="s">
        <v>13</v>
      </c>
      <c r="H65" t="s">
        <v>192</v>
      </c>
      <c r="I65" t="s">
        <v>137</v>
      </c>
    </row>
    <row r="66" spans="1:9" x14ac:dyDescent="0.25">
      <c r="A66" t="s">
        <v>9</v>
      </c>
      <c r="B66" t="s">
        <v>193</v>
      </c>
      <c r="C66">
        <v>3163</v>
      </c>
      <c r="D66">
        <v>126</v>
      </c>
      <c r="E66" t="s">
        <v>11</v>
      </c>
      <c r="F66" t="s">
        <v>145</v>
      </c>
      <c r="G66" t="s">
        <v>13</v>
      </c>
      <c r="H66" t="s">
        <v>194</v>
      </c>
      <c r="I66" t="s">
        <v>137</v>
      </c>
    </row>
    <row r="67" spans="1:9" x14ac:dyDescent="0.25">
      <c r="A67" t="s">
        <v>9</v>
      </c>
      <c r="B67" t="s">
        <v>195</v>
      </c>
      <c r="C67">
        <v>3287</v>
      </c>
      <c r="D67">
        <v>124</v>
      </c>
      <c r="E67" t="s">
        <v>11</v>
      </c>
      <c r="F67" t="s">
        <v>142</v>
      </c>
      <c r="G67" t="s">
        <v>13</v>
      </c>
      <c r="H67" t="s">
        <v>196</v>
      </c>
      <c r="I67" t="s">
        <v>137</v>
      </c>
    </row>
    <row r="68" spans="1:9" x14ac:dyDescent="0.25">
      <c r="A68" t="s">
        <v>9</v>
      </c>
      <c r="B68" t="s">
        <v>197</v>
      </c>
      <c r="C68">
        <v>3413</v>
      </c>
      <c r="D68">
        <v>126</v>
      </c>
      <c r="E68" t="s">
        <v>11</v>
      </c>
      <c r="F68" t="s">
        <v>145</v>
      </c>
      <c r="G68" t="s">
        <v>13</v>
      </c>
      <c r="H68" t="s">
        <v>198</v>
      </c>
      <c r="I68" t="s">
        <v>137</v>
      </c>
    </row>
    <row r="69" spans="1:9" x14ac:dyDescent="0.25">
      <c r="A69" t="s">
        <v>9</v>
      </c>
      <c r="B69" t="s">
        <v>199</v>
      </c>
      <c r="C69">
        <v>3538</v>
      </c>
      <c r="D69">
        <v>125</v>
      </c>
      <c r="E69" t="s">
        <v>11</v>
      </c>
      <c r="F69" t="s">
        <v>155</v>
      </c>
      <c r="G69" t="s">
        <v>13</v>
      </c>
      <c r="H69" t="s">
        <v>200</v>
      </c>
      <c r="I69" t="s">
        <v>137</v>
      </c>
    </row>
    <row r="70" spans="1:9" x14ac:dyDescent="0.25">
      <c r="A70" t="s">
        <v>35</v>
      </c>
      <c r="B70" t="s">
        <v>201</v>
      </c>
      <c r="C70">
        <v>3665</v>
      </c>
      <c r="D70">
        <v>127</v>
      </c>
      <c r="E70" t="s">
        <v>11</v>
      </c>
      <c r="F70" t="s">
        <v>139</v>
      </c>
      <c r="G70" t="s">
        <v>202</v>
      </c>
      <c r="H70" t="s">
        <v>203</v>
      </c>
      <c r="I70" t="s">
        <v>137</v>
      </c>
    </row>
    <row r="71" spans="1:9" x14ac:dyDescent="0.25">
      <c r="A71" t="s">
        <v>35</v>
      </c>
      <c r="B71" t="s">
        <v>204</v>
      </c>
      <c r="C71">
        <v>17</v>
      </c>
      <c r="D71">
        <v>123</v>
      </c>
      <c r="E71" t="s">
        <v>11</v>
      </c>
      <c r="F71" t="s">
        <v>205</v>
      </c>
      <c r="G71" t="s">
        <v>206</v>
      </c>
      <c r="H71" t="s">
        <v>207</v>
      </c>
      <c r="I71" t="s">
        <v>208</v>
      </c>
    </row>
    <row r="72" spans="1:9" x14ac:dyDescent="0.25">
      <c r="A72" t="s">
        <v>35</v>
      </c>
      <c r="B72" t="s">
        <v>209</v>
      </c>
      <c r="C72">
        <v>145</v>
      </c>
      <c r="D72">
        <v>128</v>
      </c>
      <c r="E72" t="s">
        <v>11</v>
      </c>
      <c r="F72" t="s">
        <v>210</v>
      </c>
      <c r="G72" t="s">
        <v>211</v>
      </c>
      <c r="H72" t="s">
        <v>212</v>
      </c>
      <c r="I72" t="s">
        <v>208</v>
      </c>
    </row>
    <row r="73" spans="1:9" x14ac:dyDescent="0.25">
      <c r="A73" t="s">
        <v>35</v>
      </c>
      <c r="B73" t="s">
        <v>213</v>
      </c>
      <c r="C73">
        <v>269</v>
      </c>
      <c r="D73">
        <v>124</v>
      </c>
      <c r="E73" t="s">
        <v>11</v>
      </c>
      <c r="F73" t="s">
        <v>214</v>
      </c>
      <c r="G73" t="s">
        <v>215</v>
      </c>
      <c r="H73" t="s">
        <v>216</v>
      </c>
      <c r="I73" t="s">
        <v>208</v>
      </c>
    </row>
    <row r="74" spans="1:9" x14ac:dyDescent="0.25">
      <c r="A74" t="s">
        <v>35</v>
      </c>
      <c r="B74" t="s">
        <v>217</v>
      </c>
      <c r="C74">
        <v>396</v>
      </c>
      <c r="D74">
        <v>127</v>
      </c>
      <c r="E74" t="s">
        <v>11</v>
      </c>
      <c r="F74" t="s">
        <v>218</v>
      </c>
      <c r="G74" t="s">
        <v>219</v>
      </c>
      <c r="H74" t="s">
        <v>220</v>
      </c>
      <c r="I74" t="s">
        <v>208</v>
      </c>
    </row>
    <row r="75" spans="1:9" x14ac:dyDescent="0.25">
      <c r="A75" t="s">
        <v>35</v>
      </c>
      <c r="B75" t="s">
        <v>221</v>
      </c>
      <c r="C75">
        <v>518</v>
      </c>
      <c r="D75">
        <v>122</v>
      </c>
      <c r="E75" t="s">
        <v>11</v>
      </c>
      <c r="F75" t="s">
        <v>222</v>
      </c>
      <c r="G75" t="s">
        <v>223</v>
      </c>
      <c r="H75" t="s">
        <v>224</v>
      </c>
      <c r="I75" t="s">
        <v>208</v>
      </c>
    </row>
    <row r="76" spans="1:9" x14ac:dyDescent="0.25">
      <c r="A76" t="s">
        <v>35</v>
      </c>
      <c r="B76" t="s">
        <v>225</v>
      </c>
      <c r="C76">
        <v>646</v>
      </c>
      <c r="D76">
        <v>128</v>
      </c>
      <c r="E76" t="s">
        <v>11</v>
      </c>
      <c r="F76" t="s">
        <v>226</v>
      </c>
      <c r="G76" t="s">
        <v>227</v>
      </c>
      <c r="H76" t="s">
        <v>228</v>
      </c>
      <c r="I76" t="s">
        <v>208</v>
      </c>
    </row>
    <row r="77" spans="1:9" x14ac:dyDescent="0.25">
      <c r="A77" t="s">
        <v>35</v>
      </c>
      <c r="B77" t="s">
        <v>229</v>
      </c>
      <c r="C77">
        <v>771</v>
      </c>
      <c r="D77">
        <v>125</v>
      </c>
      <c r="E77" t="s">
        <v>11</v>
      </c>
      <c r="F77" t="s">
        <v>230</v>
      </c>
      <c r="G77" t="s">
        <v>231</v>
      </c>
      <c r="H77" t="s">
        <v>232</v>
      </c>
      <c r="I77" t="s">
        <v>208</v>
      </c>
    </row>
    <row r="78" spans="1:9" x14ac:dyDescent="0.25">
      <c r="A78" t="s">
        <v>35</v>
      </c>
      <c r="B78" t="s">
        <v>233</v>
      </c>
      <c r="C78">
        <v>896</v>
      </c>
      <c r="D78">
        <v>125</v>
      </c>
      <c r="E78" t="s">
        <v>11</v>
      </c>
      <c r="F78" t="s">
        <v>234</v>
      </c>
      <c r="G78" t="s">
        <v>235</v>
      </c>
      <c r="H78" t="s">
        <v>236</v>
      </c>
      <c r="I78" t="s">
        <v>208</v>
      </c>
    </row>
    <row r="79" spans="1:9" x14ac:dyDescent="0.25">
      <c r="A79" t="s">
        <v>35</v>
      </c>
      <c r="B79" t="s">
        <v>237</v>
      </c>
      <c r="C79">
        <v>1018</v>
      </c>
      <c r="D79">
        <v>122</v>
      </c>
      <c r="E79" t="s">
        <v>11</v>
      </c>
      <c r="F79" t="s">
        <v>238</v>
      </c>
      <c r="G79" t="s">
        <v>239</v>
      </c>
      <c r="H79" t="s">
        <v>240</v>
      </c>
      <c r="I79" t="s">
        <v>208</v>
      </c>
    </row>
    <row r="80" spans="1:9" x14ac:dyDescent="0.25">
      <c r="A80" t="s">
        <v>35</v>
      </c>
      <c r="B80" t="s">
        <v>241</v>
      </c>
      <c r="C80">
        <v>1145</v>
      </c>
      <c r="D80">
        <v>127</v>
      </c>
      <c r="E80" t="s">
        <v>11</v>
      </c>
      <c r="F80" t="s">
        <v>242</v>
      </c>
      <c r="G80" t="s">
        <v>243</v>
      </c>
      <c r="H80" t="s">
        <v>244</v>
      </c>
      <c r="I80" t="s">
        <v>208</v>
      </c>
    </row>
    <row r="81" spans="1:33" x14ac:dyDescent="0.25">
      <c r="A81" t="s">
        <v>35</v>
      </c>
      <c r="B81" t="s">
        <v>245</v>
      </c>
      <c r="C81">
        <v>1266</v>
      </c>
      <c r="D81">
        <v>121</v>
      </c>
      <c r="E81" t="s">
        <v>11</v>
      </c>
      <c r="F81" t="s">
        <v>246</v>
      </c>
      <c r="G81" t="s">
        <v>247</v>
      </c>
      <c r="H81" t="s">
        <v>248</v>
      </c>
      <c r="I81" t="s">
        <v>208</v>
      </c>
    </row>
    <row r="82" spans="1:33" x14ac:dyDescent="0.25">
      <c r="A82" t="s">
        <v>35</v>
      </c>
      <c r="B82" t="s">
        <v>249</v>
      </c>
      <c r="C82">
        <v>1395</v>
      </c>
      <c r="D82">
        <v>129</v>
      </c>
      <c r="E82" t="s">
        <v>11</v>
      </c>
      <c r="F82" t="s">
        <v>250</v>
      </c>
      <c r="G82" t="s">
        <v>251</v>
      </c>
      <c r="H82" t="s">
        <v>252</v>
      </c>
      <c r="I82" t="s">
        <v>208</v>
      </c>
    </row>
    <row r="83" spans="1:33" x14ac:dyDescent="0.25">
      <c r="A83" t="s">
        <v>35</v>
      </c>
      <c r="B83" t="s">
        <v>253</v>
      </c>
      <c r="C83">
        <v>1518</v>
      </c>
      <c r="D83">
        <v>123</v>
      </c>
      <c r="E83" t="s">
        <v>11</v>
      </c>
      <c r="F83" t="s">
        <v>254</v>
      </c>
      <c r="G83" t="s">
        <v>251</v>
      </c>
      <c r="H83" t="s">
        <v>255</v>
      </c>
      <c r="I83" t="s">
        <v>208</v>
      </c>
    </row>
    <row r="84" spans="1:33" x14ac:dyDescent="0.25">
      <c r="A84" t="s">
        <v>35</v>
      </c>
      <c r="B84" t="s">
        <v>256</v>
      </c>
      <c r="C84">
        <v>1646</v>
      </c>
      <c r="D84">
        <v>128</v>
      </c>
      <c r="E84" t="s">
        <v>11</v>
      </c>
      <c r="F84" t="s">
        <v>257</v>
      </c>
      <c r="G84" t="s">
        <v>258</v>
      </c>
      <c r="H84" t="s">
        <v>259</v>
      </c>
      <c r="I84" t="s">
        <v>208</v>
      </c>
    </row>
    <row r="85" spans="1:33" x14ac:dyDescent="0.25">
      <c r="A85" t="s">
        <v>35</v>
      </c>
      <c r="B85" t="s">
        <v>260</v>
      </c>
      <c r="C85">
        <v>1771</v>
      </c>
      <c r="D85">
        <v>125</v>
      </c>
      <c r="E85" t="s">
        <v>11</v>
      </c>
      <c r="F85" t="s">
        <v>261</v>
      </c>
      <c r="G85" t="s">
        <v>262</v>
      </c>
      <c r="H85" t="s">
        <v>263</v>
      </c>
      <c r="I85" t="s">
        <v>208</v>
      </c>
    </row>
    <row r="86" spans="1:33" x14ac:dyDescent="0.25">
      <c r="A86" t="s">
        <v>35</v>
      </c>
      <c r="B86" t="s">
        <v>264</v>
      </c>
      <c r="C86">
        <v>1899</v>
      </c>
      <c r="D86">
        <v>128</v>
      </c>
      <c r="E86" t="s">
        <v>11</v>
      </c>
      <c r="F86" t="s">
        <v>265</v>
      </c>
      <c r="G86" t="s">
        <v>266</v>
      </c>
      <c r="H86" t="s">
        <v>267</v>
      </c>
      <c r="I86" t="s">
        <v>208</v>
      </c>
    </row>
    <row r="87" spans="1:33" x14ac:dyDescent="0.25">
      <c r="A87" t="s">
        <v>9</v>
      </c>
      <c r="B87" t="s">
        <v>268</v>
      </c>
      <c r="C87">
        <v>93</v>
      </c>
      <c r="D87">
        <v>123</v>
      </c>
      <c r="E87" t="s">
        <v>11</v>
      </c>
      <c r="F87">
        <v>0.35493999999999998</v>
      </c>
      <c r="G87" t="s">
        <v>13</v>
      </c>
      <c r="H87" t="s">
        <v>269</v>
      </c>
      <c r="I87" t="s">
        <v>270</v>
      </c>
      <c r="M87">
        <v>207000</v>
      </c>
      <c r="N87" s="4">
        <f>$M$87*F87</f>
        <v>73472.58</v>
      </c>
      <c r="O87" s="4">
        <f>$M$87*G87</f>
        <v>0</v>
      </c>
      <c r="P87" s="4">
        <f>N87+O87</f>
        <v>73472.58</v>
      </c>
      <c r="R87">
        <v>25</v>
      </c>
      <c r="S87" s="4">
        <f>P87*0.0001*(C87/252)</f>
        <v>2.7114880714285721</v>
      </c>
      <c r="V87" t="s">
        <v>1755</v>
      </c>
      <c r="X87" s="7"/>
      <c r="Y87" s="7" t="s">
        <v>1755</v>
      </c>
      <c r="Z87" t="s">
        <v>1751</v>
      </c>
      <c r="AF87" t="s">
        <v>1740</v>
      </c>
      <c r="AG87">
        <v>3.419210964202648</v>
      </c>
    </row>
    <row r="88" spans="1:33" x14ac:dyDescent="0.25">
      <c r="A88" t="s">
        <v>9</v>
      </c>
      <c r="B88" t="s">
        <v>271</v>
      </c>
      <c r="C88">
        <v>222</v>
      </c>
      <c r="D88">
        <v>129</v>
      </c>
      <c r="E88" t="s">
        <v>11</v>
      </c>
      <c r="F88">
        <v>0.37255100000000002</v>
      </c>
      <c r="G88" t="s">
        <v>13</v>
      </c>
      <c r="H88" t="s">
        <v>272</v>
      </c>
      <c r="I88" t="s">
        <v>270</v>
      </c>
      <c r="N88" s="4">
        <f t="shared" ref="N88:N104" si="5">$M$87*F88</f>
        <v>77118.057000000001</v>
      </c>
      <c r="O88" s="4">
        <f t="shared" ref="O88:O104" si="6">$M$87*G88</f>
        <v>0</v>
      </c>
      <c r="P88" s="4">
        <f t="shared" ref="P88:P104" si="7">N88+O88</f>
        <v>77118.057000000001</v>
      </c>
      <c r="R88">
        <v>26</v>
      </c>
      <c r="S88" s="4">
        <f>P88*0.0001*(C88/252)</f>
        <v>6.7937335928571425</v>
      </c>
      <c r="U88" t="s">
        <v>1740</v>
      </c>
      <c r="V88" s="4">
        <f>S87</f>
        <v>2.7114880714285721</v>
      </c>
      <c r="X88" s="7" t="s">
        <v>1740</v>
      </c>
      <c r="Y88" s="4">
        <v>0.27114880714285722</v>
      </c>
      <c r="Z88" s="7">
        <v>3.419210964202648</v>
      </c>
      <c r="AA88" s="6">
        <f>Y88/Z88</f>
        <v>7.9301572784377314E-2</v>
      </c>
      <c r="AF88" t="s">
        <v>1741</v>
      </c>
      <c r="AG88">
        <v>21.677699195308378</v>
      </c>
    </row>
    <row r="89" spans="1:33" x14ac:dyDescent="0.25">
      <c r="A89" t="s">
        <v>9</v>
      </c>
      <c r="B89" t="s">
        <v>273</v>
      </c>
      <c r="C89">
        <v>345</v>
      </c>
      <c r="D89">
        <v>123</v>
      </c>
      <c r="E89" t="s">
        <v>11</v>
      </c>
      <c r="F89">
        <v>0.35493999999999998</v>
      </c>
      <c r="G89" t="s">
        <v>13</v>
      </c>
      <c r="H89" t="s">
        <v>274</v>
      </c>
      <c r="I89" t="s">
        <v>270</v>
      </c>
      <c r="N89" s="4">
        <f>$M$87*F89</f>
        <v>73472.58</v>
      </c>
      <c r="O89" s="4">
        <f t="shared" si="6"/>
        <v>0</v>
      </c>
      <c r="P89" s="4">
        <f t="shared" si="7"/>
        <v>73472.58</v>
      </c>
      <c r="R89">
        <v>26</v>
      </c>
      <c r="S89" s="4">
        <f t="shared" ref="S88:S104" si="8">P89*0.0001*(C89/252)</f>
        <v>10.058746071428573</v>
      </c>
      <c r="U89" t="s">
        <v>1741</v>
      </c>
      <c r="V89" s="4">
        <f>S88+S89</f>
        <v>16.852479664285717</v>
      </c>
      <c r="X89" s="7" t="s">
        <v>1741</v>
      </c>
      <c r="Y89" s="4">
        <v>1.6852479664285716</v>
      </c>
      <c r="Z89" s="7">
        <v>21.677699195308378</v>
      </c>
      <c r="AA89" s="6">
        <f t="shared" ref="AA89:AA95" si="9">Y89/Z89</f>
        <v>7.7741090105785005E-2</v>
      </c>
      <c r="AD89" s="6"/>
      <c r="AF89" t="s">
        <v>1742</v>
      </c>
      <c r="AG89">
        <v>31.183309670013841</v>
      </c>
    </row>
    <row r="90" spans="1:33" x14ac:dyDescent="0.25">
      <c r="A90" t="s">
        <v>9</v>
      </c>
      <c r="B90" t="s">
        <v>275</v>
      </c>
      <c r="C90">
        <v>471</v>
      </c>
      <c r="D90">
        <v>126</v>
      </c>
      <c r="E90" t="s">
        <v>11</v>
      </c>
      <c r="F90">
        <v>0.36374200000000001</v>
      </c>
      <c r="G90" t="s">
        <v>13</v>
      </c>
      <c r="H90" t="s">
        <v>276</v>
      </c>
      <c r="I90" t="s">
        <v>270</v>
      </c>
      <c r="N90" s="4">
        <f t="shared" si="5"/>
        <v>75294.593999999997</v>
      </c>
      <c r="O90" s="4">
        <f t="shared" si="6"/>
        <v>0</v>
      </c>
      <c r="P90" s="4">
        <f t="shared" si="7"/>
        <v>75294.593999999997</v>
      </c>
      <c r="R90">
        <v>27</v>
      </c>
      <c r="S90" s="4">
        <f t="shared" si="8"/>
        <v>14.072918164285715</v>
      </c>
      <c r="U90" t="s">
        <v>1742</v>
      </c>
      <c r="V90" s="4">
        <f>S90+S91</f>
        <v>47.782494414285722</v>
      </c>
      <c r="X90" s="7" t="s">
        <v>1742</v>
      </c>
      <c r="Y90" s="4">
        <v>4.7782494414285726</v>
      </c>
      <c r="Z90" s="7">
        <v>31.183309670013841</v>
      </c>
      <c r="AA90" s="6">
        <f t="shared" si="9"/>
        <v>0.15323099093690434</v>
      </c>
      <c r="AD90" s="6"/>
      <c r="AF90" t="s">
        <v>1743</v>
      </c>
      <c r="AG90">
        <v>44.549694874964189</v>
      </c>
    </row>
    <row r="91" spans="1:33" x14ac:dyDescent="0.25">
      <c r="A91" t="s">
        <v>35</v>
      </c>
      <c r="B91" t="s">
        <v>277</v>
      </c>
      <c r="C91">
        <v>595</v>
      </c>
      <c r="D91">
        <v>124</v>
      </c>
      <c r="E91" t="s">
        <v>11</v>
      </c>
      <c r="F91">
        <v>0.35787200000000002</v>
      </c>
      <c r="G91" t="s">
        <v>278</v>
      </c>
      <c r="H91" t="s">
        <v>279</v>
      </c>
      <c r="I91" t="s">
        <v>270</v>
      </c>
      <c r="N91" s="4">
        <f t="shared" si="5"/>
        <v>74079.504000000001</v>
      </c>
      <c r="O91" s="4">
        <f t="shared" si="6"/>
        <v>68690.466</v>
      </c>
      <c r="P91" s="4">
        <f t="shared" si="7"/>
        <v>142769.97</v>
      </c>
      <c r="Q91" s="8"/>
      <c r="R91">
        <v>27</v>
      </c>
      <c r="S91" s="4">
        <f t="shared" si="8"/>
        <v>33.709576250000005</v>
      </c>
      <c r="U91" t="s">
        <v>1743</v>
      </c>
      <c r="V91" s="4">
        <f>S92+S93</f>
        <v>82.901396650000009</v>
      </c>
      <c r="X91" s="7" t="s">
        <v>1743</v>
      </c>
      <c r="Y91" s="4">
        <v>8.2901396650000017</v>
      </c>
      <c r="Z91" s="7">
        <v>44.549694874964189</v>
      </c>
      <c r="AA91" s="6">
        <f t="shared" si="9"/>
        <v>0.1860874622882962</v>
      </c>
      <c r="AD91" s="6"/>
      <c r="AF91" t="s">
        <v>1748</v>
      </c>
      <c r="AG91">
        <v>51.156731645634864</v>
      </c>
    </row>
    <row r="92" spans="1:33" x14ac:dyDescent="0.25">
      <c r="A92" t="s">
        <v>35</v>
      </c>
      <c r="B92" t="s">
        <v>280</v>
      </c>
      <c r="C92">
        <v>723</v>
      </c>
      <c r="D92">
        <v>128</v>
      </c>
      <c r="E92" t="s">
        <v>11</v>
      </c>
      <c r="F92">
        <v>0.35817500000000002</v>
      </c>
      <c r="G92" t="s">
        <v>281</v>
      </c>
      <c r="H92" t="s">
        <v>282</v>
      </c>
      <c r="I92" t="s">
        <v>270</v>
      </c>
      <c r="N92" s="4">
        <f t="shared" si="5"/>
        <v>74142.225000000006</v>
      </c>
      <c r="O92" s="4">
        <f t="shared" si="6"/>
        <v>68691.501000000004</v>
      </c>
      <c r="P92" s="4">
        <f t="shared" si="7"/>
        <v>142833.72600000002</v>
      </c>
      <c r="R92">
        <v>28</v>
      </c>
      <c r="S92" s="4">
        <f t="shared" si="8"/>
        <v>40.97967615000001</v>
      </c>
      <c r="U92" t="s">
        <v>1748</v>
      </c>
      <c r="V92" s="4">
        <f>S94+S95</f>
        <v>136.01548442857143</v>
      </c>
      <c r="X92" s="7" t="s">
        <v>1748</v>
      </c>
      <c r="Y92" s="4">
        <v>13.601548442857142</v>
      </c>
      <c r="Z92" s="7">
        <v>51.156731645634864</v>
      </c>
      <c r="AA92" s="6">
        <f t="shared" si="9"/>
        <v>0.26587993418101302</v>
      </c>
      <c r="AD92" s="6"/>
      <c r="AF92" t="s">
        <v>1744</v>
      </c>
      <c r="AG92">
        <v>60.454603402395151</v>
      </c>
    </row>
    <row r="93" spans="1:33" x14ac:dyDescent="0.25">
      <c r="A93" t="s">
        <v>35</v>
      </c>
      <c r="B93" t="s">
        <v>283</v>
      </c>
      <c r="C93">
        <v>847</v>
      </c>
      <c r="D93">
        <v>124</v>
      </c>
      <c r="E93" t="s">
        <v>11</v>
      </c>
      <c r="F93">
        <v>0.33572099999999999</v>
      </c>
      <c r="G93" t="s">
        <v>284</v>
      </c>
      <c r="H93" t="s">
        <v>285</v>
      </c>
      <c r="I93" t="s">
        <v>270</v>
      </c>
      <c r="N93" s="4">
        <f t="shared" si="5"/>
        <v>69494.247000000003</v>
      </c>
      <c r="O93" s="4">
        <f t="shared" si="6"/>
        <v>55231.532999999996</v>
      </c>
      <c r="P93" s="4">
        <f t="shared" si="7"/>
        <v>124725.78</v>
      </c>
      <c r="R93">
        <v>28</v>
      </c>
      <c r="S93" s="4">
        <f t="shared" si="8"/>
        <v>41.921720499999999</v>
      </c>
      <c r="U93" t="s">
        <v>1744</v>
      </c>
      <c r="V93" s="4">
        <f>S96+S97</f>
        <v>217.43395698214283</v>
      </c>
      <c r="X93" s="7" t="s">
        <v>1744</v>
      </c>
      <c r="Y93" s="4">
        <f>V93+V94</f>
        <v>511.83104953571433</v>
      </c>
      <c r="Z93" s="7">
        <v>60.454603402395151</v>
      </c>
      <c r="AA93" s="6">
        <f t="shared" si="9"/>
        <v>8.4663701476773916</v>
      </c>
      <c r="AD93" s="6"/>
      <c r="AF93" t="s">
        <v>1745</v>
      </c>
      <c r="AG93">
        <v>71.349986243556486</v>
      </c>
    </row>
    <row r="94" spans="1:33" x14ac:dyDescent="0.25">
      <c r="A94" t="s">
        <v>35</v>
      </c>
      <c r="B94" t="s">
        <v>286</v>
      </c>
      <c r="C94">
        <v>970</v>
      </c>
      <c r="D94">
        <v>123</v>
      </c>
      <c r="E94" t="s">
        <v>11</v>
      </c>
      <c r="F94">
        <v>0.32413599999999998</v>
      </c>
      <c r="G94" t="s">
        <v>287</v>
      </c>
      <c r="H94" t="s">
        <v>288</v>
      </c>
      <c r="I94" t="s">
        <v>270</v>
      </c>
      <c r="N94" s="4">
        <f t="shared" si="5"/>
        <v>67096.152000000002</v>
      </c>
      <c r="O94" s="4">
        <f t="shared" si="6"/>
        <v>55231.74</v>
      </c>
      <c r="P94" s="4">
        <f t="shared" si="7"/>
        <v>122327.89199999999</v>
      </c>
      <c r="R94">
        <v>29</v>
      </c>
      <c r="S94" s="4">
        <f t="shared" si="8"/>
        <v>47.086529857142857</v>
      </c>
      <c r="U94" t="s">
        <v>1749</v>
      </c>
      <c r="V94" s="4">
        <f>S98+S99</f>
        <v>294.3970925535715</v>
      </c>
      <c r="X94" s="7" t="s">
        <v>1745</v>
      </c>
      <c r="Y94" s="4">
        <f>V95+V96</f>
        <v>771.77070202857158</v>
      </c>
      <c r="Z94" s="7">
        <v>71.349986243556486</v>
      </c>
      <c r="AA94" s="6">
        <f>Y94/Z94</f>
        <v>10.816690270886619</v>
      </c>
      <c r="AD94" s="6"/>
      <c r="AF94" t="s">
        <v>1746</v>
      </c>
      <c r="AG94">
        <v>80.365486700218753</v>
      </c>
    </row>
    <row r="95" spans="1:33" x14ac:dyDescent="0.25">
      <c r="A95" t="s">
        <v>35</v>
      </c>
      <c r="B95" t="s">
        <v>289</v>
      </c>
      <c r="C95">
        <v>1095</v>
      </c>
      <c r="D95">
        <v>125</v>
      </c>
      <c r="E95" t="s">
        <v>11</v>
      </c>
      <c r="F95">
        <v>0.32051600000000002</v>
      </c>
      <c r="G95" t="s">
        <v>290</v>
      </c>
      <c r="H95" t="s">
        <v>291</v>
      </c>
      <c r="I95" t="s">
        <v>270</v>
      </c>
      <c r="N95" s="4">
        <f t="shared" si="5"/>
        <v>66346.812000000005</v>
      </c>
      <c r="O95" s="4">
        <f t="shared" si="6"/>
        <v>138311.60399999999</v>
      </c>
      <c r="P95" s="4">
        <f t="shared" si="7"/>
        <v>204658.416</v>
      </c>
      <c r="R95">
        <v>29</v>
      </c>
      <c r="S95" s="4">
        <f t="shared" si="8"/>
        <v>88.928954571428562</v>
      </c>
      <c r="U95" t="s">
        <v>1745</v>
      </c>
      <c r="V95" s="4">
        <f>S101+S100</f>
        <v>366.31435957142861</v>
      </c>
      <c r="X95" t="s">
        <v>1746</v>
      </c>
      <c r="Y95" s="4">
        <f>V97</f>
        <v>211.24820925000003</v>
      </c>
      <c r="Z95" s="7">
        <v>80.365486700218753</v>
      </c>
      <c r="AA95" s="6">
        <f t="shared" si="9"/>
        <v>2.6285936653131103</v>
      </c>
      <c r="AD95" s="6"/>
      <c r="AF95" t="s">
        <v>1747</v>
      </c>
      <c r="AG95">
        <v>83.972866358890315</v>
      </c>
    </row>
    <row r="96" spans="1:33" x14ac:dyDescent="0.25">
      <c r="A96" t="s">
        <v>35</v>
      </c>
      <c r="B96" t="s">
        <v>292</v>
      </c>
      <c r="C96">
        <v>1219</v>
      </c>
      <c r="D96">
        <v>124</v>
      </c>
      <c r="E96" t="s">
        <v>11</v>
      </c>
      <c r="F96">
        <v>0.29560799999999998</v>
      </c>
      <c r="G96" t="s">
        <v>293</v>
      </c>
      <c r="H96" t="s">
        <v>294</v>
      </c>
      <c r="I96" t="s">
        <v>270</v>
      </c>
      <c r="N96" s="4">
        <f t="shared" si="5"/>
        <v>61190.856</v>
      </c>
      <c r="O96" s="4">
        <f t="shared" si="6"/>
        <v>138310.77599999998</v>
      </c>
      <c r="P96" s="4">
        <f t="shared" si="7"/>
        <v>199501.63199999998</v>
      </c>
      <c r="R96">
        <v>30</v>
      </c>
      <c r="S96" s="4">
        <f t="shared" si="8"/>
        <v>96.504956114285704</v>
      </c>
      <c r="U96" t="s">
        <v>1756</v>
      </c>
      <c r="V96" s="4">
        <f>S102+S103</f>
        <v>405.45634245714291</v>
      </c>
      <c r="X96" s="7"/>
      <c r="Y96" s="4"/>
      <c r="Z96" s="7"/>
      <c r="AD96" s="6"/>
    </row>
    <row r="97" spans="1:25" x14ac:dyDescent="0.25">
      <c r="A97" t="s">
        <v>35</v>
      </c>
      <c r="B97" t="s">
        <v>295</v>
      </c>
      <c r="C97">
        <v>1343</v>
      </c>
      <c r="D97">
        <v>124</v>
      </c>
      <c r="E97" t="s">
        <v>11</v>
      </c>
      <c r="F97">
        <v>0.27330599999999999</v>
      </c>
      <c r="G97" t="s">
        <v>296</v>
      </c>
      <c r="H97" t="s">
        <v>297</v>
      </c>
      <c r="I97" t="s">
        <v>270</v>
      </c>
      <c r="N97" s="4">
        <f t="shared" si="5"/>
        <v>56574.341999999997</v>
      </c>
      <c r="O97" s="4">
        <f t="shared" si="6"/>
        <v>170336.367</v>
      </c>
      <c r="P97" s="4">
        <f t="shared" si="7"/>
        <v>226910.709</v>
      </c>
      <c r="R97">
        <v>30</v>
      </c>
      <c r="S97" s="4">
        <f t="shared" si="8"/>
        <v>120.92900086785714</v>
      </c>
      <c r="U97" t="s">
        <v>1757</v>
      </c>
      <c r="V97" s="4">
        <f>S104</f>
        <v>211.24820925000003</v>
      </c>
      <c r="X97" s="7"/>
      <c r="Y97" s="4"/>
    </row>
    <row r="98" spans="1:25" x14ac:dyDescent="0.25">
      <c r="A98" t="s">
        <v>35</v>
      </c>
      <c r="B98" t="s">
        <v>298</v>
      </c>
      <c r="C98">
        <v>1471</v>
      </c>
      <c r="D98">
        <v>128</v>
      </c>
      <c r="E98" t="s">
        <v>11</v>
      </c>
      <c r="F98">
        <v>0.25390699999999999</v>
      </c>
      <c r="G98" t="s">
        <v>299</v>
      </c>
      <c r="H98" t="s">
        <v>300</v>
      </c>
      <c r="I98" t="s">
        <v>270</v>
      </c>
      <c r="N98" s="4">
        <f t="shared" si="5"/>
        <v>52558.748999999996</v>
      </c>
      <c r="O98" s="4">
        <f t="shared" si="6"/>
        <v>170336.15999999997</v>
      </c>
      <c r="P98" s="4">
        <f t="shared" si="7"/>
        <v>222894.90899999999</v>
      </c>
      <c r="R98">
        <v>31</v>
      </c>
      <c r="S98" s="4">
        <f t="shared" si="8"/>
        <v>130.11048061071429</v>
      </c>
    </row>
    <row r="99" spans="1:25" x14ac:dyDescent="0.25">
      <c r="A99" t="s">
        <v>35</v>
      </c>
      <c r="B99" t="s">
        <v>301</v>
      </c>
      <c r="C99">
        <v>1594</v>
      </c>
      <c r="D99">
        <v>123</v>
      </c>
      <c r="E99" t="s">
        <v>11</v>
      </c>
      <c r="F99">
        <v>0.216585</v>
      </c>
      <c r="G99" t="s">
        <v>302</v>
      </c>
      <c r="H99" t="s">
        <v>303</v>
      </c>
      <c r="I99" t="s">
        <v>270</v>
      </c>
      <c r="N99" s="4">
        <f t="shared" si="5"/>
        <v>44833.095000000001</v>
      </c>
      <c r="O99" s="4">
        <f t="shared" si="6"/>
        <v>214892.28900000002</v>
      </c>
      <c r="P99" s="4">
        <f t="shared" si="7"/>
        <v>259725.38400000002</v>
      </c>
      <c r="R99">
        <v>31</v>
      </c>
      <c r="S99" s="4">
        <f t="shared" si="8"/>
        <v>164.28661194285718</v>
      </c>
    </row>
    <row r="100" spans="1:25" x14ac:dyDescent="0.25">
      <c r="A100" t="s">
        <v>35</v>
      </c>
      <c r="B100" t="s">
        <v>304</v>
      </c>
      <c r="C100">
        <v>1723</v>
      </c>
      <c r="D100">
        <v>129</v>
      </c>
      <c r="E100" t="s">
        <v>11</v>
      </c>
      <c r="F100">
        <v>0.19126199999999999</v>
      </c>
      <c r="G100" t="s">
        <v>305</v>
      </c>
      <c r="H100" t="s">
        <v>306</v>
      </c>
      <c r="I100" t="s">
        <v>270</v>
      </c>
      <c r="N100" s="4">
        <f t="shared" si="5"/>
        <v>39591.233999999997</v>
      </c>
      <c r="O100" s="4">
        <f t="shared" si="6"/>
        <v>214892.91</v>
      </c>
      <c r="P100" s="4">
        <f t="shared" si="7"/>
        <v>254484.144</v>
      </c>
      <c r="R100">
        <v>32</v>
      </c>
      <c r="S100" s="4">
        <f t="shared" si="8"/>
        <v>173.99848417142857</v>
      </c>
    </row>
    <row r="101" spans="1:25" x14ac:dyDescent="0.25">
      <c r="A101" t="s">
        <v>35</v>
      </c>
      <c r="B101" t="s">
        <v>307</v>
      </c>
      <c r="C101">
        <v>1848</v>
      </c>
      <c r="D101">
        <v>125</v>
      </c>
      <c r="E101" t="s">
        <v>11</v>
      </c>
      <c r="F101">
        <v>0.15029799999999999</v>
      </c>
      <c r="G101" t="s">
        <v>308</v>
      </c>
      <c r="H101" t="s">
        <v>309</v>
      </c>
      <c r="I101" t="s">
        <v>270</v>
      </c>
      <c r="N101" s="4">
        <f t="shared" si="5"/>
        <v>31111.685999999998</v>
      </c>
      <c r="O101" s="4">
        <f t="shared" si="6"/>
        <v>231137.23500000002</v>
      </c>
      <c r="P101" s="4">
        <f t="shared" si="7"/>
        <v>262248.92100000003</v>
      </c>
      <c r="R101">
        <v>32</v>
      </c>
      <c r="S101" s="4">
        <f t="shared" si="8"/>
        <v>192.31587540000004</v>
      </c>
    </row>
    <row r="102" spans="1:25" x14ac:dyDescent="0.25">
      <c r="A102" t="s">
        <v>35</v>
      </c>
      <c r="B102" t="s">
        <v>310</v>
      </c>
      <c r="C102">
        <v>1976</v>
      </c>
      <c r="D102">
        <v>128</v>
      </c>
      <c r="E102" t="s">
        <v>11</v>
      </c>
      <c r="F102">
        <v>0.11547399999999999</v>
      </c>
      <c r="G102" t="s">
        <v>311</v>
      </c>
      <c r="H102" t="s">
        <v>312</v>
      </c>
      <c r="I102" t="s">
        <v>270</v>
      </c>
      <c r="N102" s="4">
        <f t="shared" si="5"/>
        <v>23903.117999999999</v>
      </c>
      <c r="O102" s="4">
        <f t="shared" si="6"/>
        <v>231137.64899999998</v>
      </c>
      <c r="P102" s="4">
        <f t="shared" si="7"/>
        <v>255040.76699999996</v>
      </c>
      <c r="R102">
        <v>33</v>
      </c>
      <c r="S102" s="4">
        <f t="shared" si="8"/>
        <v>199.98434745714283</v>
      </c>
    </row>
    <row r="103" spans="1:25" x14ac:dyDescent="0.25">
      <c r="A103" t="s">
        <v>35</v>
      </c>
      <c r="B103" t="s">
        <v>313</v>
      </c>
      <c r="C103">
        <v>2100</v>
      </c>
      <c r="D103">
        <v>124</v>
      </c>
      <c r="E103" t="s">
        <v>11</v>
      </c>
      <c r="F103">
        <v>7.4537000000000006E-2</v>
      </c>
      <c r="G103" t="s">
        <v>308</v>
      </c>
      <c r="H103" t="s">
        <v>314</v>
      </c>
      <c r="I103" t="s">
        <v>270</v>
      </c>
      <c r="N103" s="4">
        <f t="shared" si="5"/>
        <v>15429.159000000001</v>
      </c>
      <c r="O103" s="4">
        <f t="shared" si="6"/>
        <v>231137.23500000002</v>
      </c>
      <c r="P103" s="4">
        <f t="shared" si="7"/>
        <v>246566.39400000003</v>
      </c>
      <c r="R103">
        <v>33</v>
      </c>
      <c r="S103" s="4">
        <f t="shared" si="8"/>
        <v>205.47199500000005</v>
      </c>
    </row>
    <row r="104" spans="1:25" x14ac:dyDescent="0.25">
      <c r="A104" t="s">
        <v>35</v>
      </c>
      <c r="B104" t="s">
        <v>315</v>
      </c>
      <c r="C104">
        <v>2227</v>
      </c>
      <c r="D104">
        <v>127</v>
      </c>
      <c r="E104" t="s">
        <v>11</v>
      </c>
      <c r="F104">
        <v>3.8184999999999997E-2</v>
      </c>
      <c r="G104" t="s">
        <v>308</v>
      </c>
      <c r="H104" t="s">
        <v>316</v>
      </c>
      <c r="I104" t="s">
        <v>270</v>
      </c>
      <c r="N104" s="4">
        <f t="shared" si="5"/>
        <v>7904.2949999999992</v>
      </c>
      <c r="O104" s="4">
        <f t="shared" si="6"/>
        <v>231137.23500000002</v>
      </c>
      <c r="P104" s="4">
        <f t="shared" si="7"/>
        <v>239041.53000000003</v>
      </c>
      <c r="R104">
        <v>34</v>
      </c>
      <c r="S104" s="4">
        <f t="shared" si="8"/>
        <v>211.24820925000003</v>
      </c>
    </row>
    <row r="105" spans="1:25" x14ac:dyDescent="0.25">
      <c r="A105" t="s">
        <v>9</v>
      </c>
      <c r="B105" t="s">
        <v>10</v>
      </c>
      <c r="C105">
        <v>11</v>
      </c>
      <c r="D105">
        <v>124</v>
      </c>
      <c r="E105" t="s">
        <v>11</v>
      </c>
      <c r="F105" t="s">
        <v>317</v>
      </c>
      <c r="G105" t="s">
        <v>13</v>
      </c>
      <c r="H105" t="s">
        <v>318</v>
      </c>
      <c r="I105" t="s">
        <v>319</v>
      </c>
      <c r="N105" t="s">
        <v>1744</v>
      </c>
      <c r="O105" s="6">
        <v>30.203300824999999</v>
      </c>
    </row>
    <row r="106" spans="1:25" x14ac:dyDescent="0.25">
      <c r="A106" t="s">
        <v>9</v>
      </c>
      <c r="B106" t="s">
        <v>16</v>
      </c>
      <c r="C106">
        <v>137</v>
      </c>
      <c r="D106">
        <v>126</v>
      </c>
      <c r="E106" t="s">
        <v>11</v>
      </c>
      <c r="F106" t="s">
        <v>320</v>
      </c>
      <c r="G106" t="s">
        <v>13</v>
      </c>
      <c r="H106" t="s">
        <v>321</v>
      </c>
      <c r="I106" t="s">
        <v>319</v>
      </c>
      <c r="N106" t="s">
        <v>1745</v>
      </c>
      <c r="O106" s="6">
        <v>35.228172322500001</v>
      </c>
    </row>
    <row r="107" spans="1:25" x14ac:dyDescent="0.25">
      <c r="A107" t="s">
        <v>9</v>
      </c>
      <c r="B107" t="s">
        <v>19</v>
      </c>
      <c r="C107">
        <v>262</v>
      </c>
      <c r="D107">
        <v>125</v>
      </c>
      <c r="E107" t="s">
        <v>11</v>
      </c>
      <c r="F107" t="s">
        <v>322</v>
      </c>
      <c r="G107" t="s">
        <v>13</v>
      </c>
      <c r="H107" t="s">
        <v>323</v>
      </c>
      <c r="I107" t="s">
        <v>319</v>
      </c>
      <c r="N107" t="s">
        <v>1746</v>
      </c>
      <c r="O107" s="6">
        <v>39.724554422500006</v>
      </c>
    </row>
    <row r="108" spans="1:25" x14ac:dyDescent="0.25">
      <c r="A108" t="s">
        <v>9</v>
      </c>
      <c r="B108" t="s">
        <v>22</v>
      </c>
      <c r="C108">
        <v>388</v>
      </c>
      <c r="D108">
        <v>126</v>
      </c>
      <c r="E108" t="s">
        <v>11</v>
      </c>
      <c r="F108" t="s">
        <v>320</v>
      </c>
      <c r="G108" t="s">
        <v>13</v>
      </c>
      <c r="H108" t="s">
        <v>324</v>
      </c>
      <c r="I108" t="s">
        <v>319</v>
      </c>
      <c r="N108" t="s">
        <v>1747</v>
      </c>
      <c r="O108" s="6">
        <v>42.212310065000004</v>
      </c>
    </row>
    <row r="109" spans="1:25" x14ac:dyDescent="0.25">
      <c r="A109" t="s">
        <v>9</v>
      </c>
      <c r="B109" t="s">
        <v>24</v>
      </c>
      <c r="C109">
        <v>510</v>
      </c>
      <c r="D109">
        <v>122</v>
      </c>
      <c r="E109" t="s">
        <v>11</v>
      </c>
      <c r="F109" t="s">
        <v>325</v>
      </c>
      <c r="G109" t="s">
        <v>13</v>
      </c>
      <c r="H109" t="s">
        <v>326</v>
      </c>
      <c r="I109" t="s">
        <v>319</v>
      </c>
    </row>
    <row r="110" spans="1:25" x14ac:dyDescent="0.25">
      <c r="A110" t="s">
        <v>9</v>
      </c>
      <c r="B110" t="s">
        <v>27</v>
      </c>
      <c r="C110">
        <v>638</v>
      </c>
      <c r="D110">
        <v>128</v>
      </c>
      <c r="E110" t="s">
        <v>11</v>
      </c>
      <c r="F110" t="s">
        <v>327</v>
      </c>
      <c r="G110" t="s">
        <v>13</v>
      </c>
      <c r="H110" t="s">
        <v>328</v>
      </c>
      <c r="I110" t="s">
        <v>319</v>
      </c>
    </row>
    <row r="111" spans="1:25" x14ac:dyDescent="0.25">
      <c r="A111" t="s">
        <v>9</v>
      </c>
      <c r="B111" t="s">
        <v>30</v>
      </c>
      <c r="C111">
        <v>763</v>
      </c>
      <c r="D111">
        <v>125</v>
      </c>
      <c r="E111" t="s">
        <v>11</v>
      </c>
      <c r="F111" t="s">
        <v>322</v>
      </c>
      <c r="G111" t="s">
        <v>13</v>
      </c>
      <c r="H111" t="s">
        <v>329</v>
      </c>
      <c r="I111" t="s">
        <v>319</v>
      </c>
    </row>
    <row r="112" spans="1:25" x14ac:dyDescent="0.25">
      <c r="A112" t="s">
        <v>9</v>
      </c>
      <c r="B112" t="s">
        <v>32</v>
      </c>
      <c r="C112">
        <v>890</v>
      </c>
      <c r="D112">
        <v>127</v>
      </c>
      <c r="E112" t="s">
        <v>11</v>
      </c>
      <c r="F112" t="s">
        <v>330</v>
      </c>
      <c r="G112" t="s">
        <v>13</v>
      </c>
      <c r="H112" t="s">
        <v>331</v>
      </c>
      <c r="I112" t="s">
        <v>319</v>
      </c>
    </row>
    <row r="113" spans="1:9" x14ac:dyDescent="0.25">
      <c r="A113" t="s">
        <v>9</v>
      </c>
      <c r="B113" t="s">
        <v>36</v>
      </c>
      <c r="C113">
        <v>1011</v>
      </c>
      <c r="D113">
        <v>121</v>
      </c>
      <c r="E113" t="s">
        <v>11</v>
      </c>
      <c r="F113" t="s">
        <v>332</v>
      </c>
      <c r="G113" t="s">
        <v>13</v>
      </c>
      <c r="H113" t="s">
        <v>333</v>
      </c>
      <c r="I113" t="s">
        <v>319</v>
      </c>
    </row>
    <row r="114" spans="1:9" x14ac:dyDescent="0.25">
      <c r="A114" t="s">
        <v>35</v>
      </c>
      <c r="B114" t="s">
        <v>40</v>
      </c>
      <c r="C114">
        <v>1139</v>
      </c>
      <c r="D114">
        <v>128</v>
      </c>
      <c r="E114" t="s">
        <v>11</v>
      </c>
      <c r="F114" t="s">
        <v>327</v>
      </c>
      <c r="G114" t="s">
        <v>334</v>
      </c>
      <c r="H114" t="s">
        <v>335</v>
      </c>
      <c r="I114" t="s">
        <v>319</v>
      </c>
    </row>
    <row r="115" spans="1:9" x14ac:dyDescent="0.25">
      <c r="A115" t="s">
        <v>9</v>
      </c>
      <c r="B115" t="s">
        <v>43</v>
      </c>
      <c r="C115">
        <v>1260</v>
      </c>
      <c r="D115">
        <v>121</v>
      </c>
      <c r="E115" t="s">
        <v>11</v>
      </c>
      <c r="F115" t="s">
        <v>336</v>
      </c>
      <c r="G115" t="s">
        <v>13</v>
      </c>
      <c r="H115" t="s">
        <v>337</v>
      </c>
      <c r="I115" t="s">
        <v>319</v>
      </c>
    </row>
    <row r="116" spans="1:9" x14ac:dyDescent="0.25">
      <c r="A116" t="s">
        <v>35</v>
      </c>
      <c r="B116" t="s">
        <v>47</v>
      </c>
      <c r="C116">
        <v>1388</v>
      </c>
      <c r="D116">
        <v>128</v>
      </c>
      <c r="E116" t="s">
        <v>11</v>
      </c>
      <c r="F116" t="s">
        <v>338</v>
      </c>
      <c r="G116" t="s">
        <v>339</v>
      </c>
      <c r="H116" t="s">
        <v>340</v>
      </c>
      <c r="I116" t="s">
        <v>319</v>
      </c>
    </row>
    <row r="117" spans="1:9" x14ac:dyDescent="0.25">
      <c r="A117" t="s">
        <v>9</v>
      </c>
      <c r="B117" t="s">
        <v>50</v>
      </c>
      <c r="C117">
        <v>1512</v>
      </c>
      <c r="D117">
        <v>124</v>
      </c>
      <c r="E117" t="s">
        <v>11</v>
      </c>
      <c r="F117" t="s">
        <v>341</v>
      </c>
      <c r="G117" t="s">
        <v>13</v>
      </c>
      <c r="H117" t="s">
        <v>342</v>
      </c>
      <c r="I117" t="s">
        <v>319</v>
      </c>
    </row>
    <row r="118" spans="1:9" x14ac:dyDescent="0.25">
      <c r="A118" t="s">
        <v>35</v>
      </c>
      <c r="B118" t="s">
        <v>343</v>
      </c>
      <c r="C118">
        <v>1638</v>
      </c>
      <c r="D118">
        <v>126</v>
      </c>
      <c r="E118" t="s">
        <v>11</v>
      </c>
      <c r="F118" t="s">
        <v>344</v>
      </c>
      <c r="G118" t="s">
        <v>339</v>
      </c>
      <c r="H118" t="s">
        <v>345</v>
      </c>
      <c r="I118" t="s">
        <v>319</v>
      </c>
    </row>
    <row r="119" spans="1:9" x14ac:dyDescent="0.25">
      <c r="A119" t="s">
        <v>9</v>
      </c>
      <c r="B119" t="s">
        <v>134</v>
      </c>
      <c r="C119">
        <v>32</v>
      </c>
      <c r="D119">
        <v>124</v>
      </c>
      <c r="E119" t="s">
        <v>11</v>
      </c>
      <c r="F119" t="s">
        <v>346</v>
      </c>
      <c r="G119" t="s">
        <v>13</v>
      </c>
      <c r="H119" t="s">
        <v>347</v>
      </c>
      <c r="I119" t="s">
        <v>348</v>
      </c>
    </row>
    <row r="120" spans="1:9" x14ac:dyDescent="0.25">
      <c r="A120" t="s">
        <v>9</v>
      </c>
      <c r="B120" t="s">
        <v>138</v>
      </c>
      <c r="C120">
        <v>159</v>
      </c>
      <c r="D120">
        <v>127</v>
      </c>
      <c r="E120" t="s">
        <v>11</v>
      </c>
      <c r="F120" t="s">
        <v>349</v>
      </c>
      <c r="G120" t="s">
        <v>13</v>
      </c>
      <c r="H120" t="s">
        <v>350</v>
      </c>
      <c r="I120" t="s">
        <v>348</v>
      </c>
    </row>
    <row r="121" spans="1:9" x14ac:dyDescent="0.25">
      <c r="A121" t="s">
        <v>9</v>
      </c>
      <c r="B121" t="s">
        <v>141</v>
      </c>
      <c r="C121">
        <v>283</v>
      </c>
      <c r="D121">
        <v>124</v>
      </c>
      <c r="E121" t="s">
        <v>11</v>
      </c>
      <c r="F121" t="s">
        <v>346</v>
      </c>
      <c r="G121" t="s">
        <v>13</v>
      </c>
      <c r="H121" t="s">
        <v>351</v>
      </c>
      <c r="I121" t="s">
        <v>348</v>
      </c>
    </row>
    <row r="122" spans="1:9" x14ac:dyDescent="0.25">
      <c r="A122" t="s">
        <v>9</v>
      </c>
      <c r="B122" t="s">
        <v>144</v>
      </c>
      <c r="C122">
        <v>409</v>
      </c>
      <c r="D122">
        <v>126</v>
      </c>
      <c r="E122" t="s">
        <v>11</v>
      </c>
      <c r="F122" t="s">
        <v>352</v>
      </c>
      <c r="G122" t="s">
        <v>13</v>
      </c>
      <c r="H122" t="s">
        <v>353</v>
      </c>
      <c r="I122" t="s">
        <v>348</v>
      </c>
    </row>
    <row r="123" spans="1:9" x14ac:dyDescent="0.25">
      <c r="A123" t="s">
        <v>9</v>
      </c>
      <c r="B123" t="s">
        <v>147</v>
      </c>
      <c r="C123">
        <v>532</v>
      </c>
      <c r="D123">
        <v>123</v>
      </c>
      <c r="E123" t="s">
        <v>11</v>
      </c>
      <c r="F123" t="s">
        <v>354</v>
      </c>
      <c r="G123" t="s">
        <v>13</v>
      </c>
      <c r="H123" t="s">
        <v>355</v>
      </c>
      <c r="I123" t="s">
        <v>348</v>
      </c>
    </row>
    <row r="124" spans="1:9" x14ac:dyDescent="0.25">
      <c r="A124" t="s">
        <v>9</v>
      </c>
      <c r="B124" t="s">
        <v>150</v>
      </c>
      <c r="C124">
        <v>659</v>
      </c>
      <c r="D124">
        <v>127</v>
      </c>
      <c r="E124" t="s">
        <v>11</v>
      </c>
      <c r="F124" t="s">
        <v>349</v>
      </c>
      <c r="G124" t="s">
        <v>13</v>
      </c>
      <c r="H124" t="s">
        <v>356</v>
      </c>
      <c r="I124" t="s">
        <v>348</v>
      </c>
    </row>
    <row r="125" spans="1:9" x14ac:dyDescent="0.25">
      <c r="A125" t="s">
        <v>9</v>
      </c>
      <c r="B125" t="s">
        <v>152</v>
      </c>
      <c r="C125">
        <v>785</v>
      </c>
      <c r="D125">
        <v>126</v>
      </c>
      <c r="E125" t="s">
        <v>11</v>
      </c>
      <c r="F125" t="s">
        <v>352</v>
      </c>
      <c r="G125" t="s">
        <v>13</v>
      </c>
      <c r="H125" t="s">
        <v>357</v>
      </c>
      <c r="I125" t="s">
        <v>348</v>
      </c>
    </row>
    <row r="126" spans="1:9" x14ac:dyDescent="0.25">
      <c r="A126" t="s">
        <v>9</v>
      </c>
      <c r="B126" t="s">
        <v>154</v>
      </c>
      <c r="C126">
        <v>910</v>
      </c>
      <c r="D126">
        <v>125</v>
      </c>
      <c r="E126" t="s">
        <v>11</v>
      </c>
      <c r="F126" t="s">
        <v>358</v>
      </c>
      <c r="G126" t="s">
        <v>13</v>
      </c>
      <c r="H126" t="s">
        <v>359</v>
      </c>
      <c r="I126" t="s">
        <v>348</v>
      </c>
    </row>
    <row r="127" spans="1:9" x14ac:dyDescent="0.25">
      <c r="A127" t="s">
        <v>9</v>
      </c>
      <c r="B127" t="s">
        <v>157</v>
      </c>
      <c r="C127">
        <v>1032</v>
      </c>
      <c r="D127">
        <v>122</v>
      </c>
      <c r="E127" t="s">
        <v>11</v>
      </c>
      <c r="F127" t="s">
        <v>360</v>
      </c>
      <c r="G127" t="s">
        <v>13</v>
      </c>
      <c r="H127" t="s">
        <v>361</v>
      </c>
      <c r="I127" t="s">
        <v>348</v>
      </c>
    </row>
    <row r="128" spans="1:9" x14ac:dyDescent="0.25">
      <c r="A128" t="s">
        <v>9</v>
      </c>
      <c r="B128" t="s">
        <v>160</v>
      </c>
      <c r="C128">
        <v>1158</v>
      </c>
      <c r="D128">
        <v>126</v>
      </c>
      <c r="E128" t="s">
        <v>11</v>
      </c>
      <c r="F128" t="s">
        <v>352</v>
      </c>
      <c r="G128" t="s">
        <v>13</v>
      </c>
      <c r="H128" t="s">
        <v>362</v>
      </c>
      <c r="I128" t="s">
        <v>348</v>
      </c>
    </row>
    <row r="129" spans="1:9" x14ac:dyDescent="0.25">
      <c r="A129" t="s">
        <v>9</v>
      </c>
      <c r="B129" t="s">
        <v>162</v>
      </c>
      <c r="C129">
        <v>1281</v>
      </c>
      <c r="D129">
        <v>123</v>
      </c>
      <c r="E129" t="s">
        <v>11</v>
      </c>
      <c r="F129" t="s">
        <v>354</v>
      </c>
      <c r="G129" t="s">
        <v>13</v>
      </c>
      <c r="H129" t="s">
        <v>363</v>
      </c>
      <c r="I129" t="s">
        <v>348</v>
      </c>
    </row>
    <row r="130" spans="1:9" x14ac:dyDescent="0.25">
      <c r="A130" t="s">
        <v>9</v>
      </c>
      <c r="B130" t="s">
        <v>164</v>
      </c>
      <c r="C130">
        <v>1409</v>
      </c>
      <c r="D130">
        <v>128</v>
      </c>
      <c r="E130" t="s">
        <v>11</v>
      </c>
      <c r="F130" t="s">
        <v>364</v>
      </c>
      <c r="G130" t="s">
        <v>13</v>
      </c>
      <c r="H130" t="s">
        <v>365</v>
      </c>
      <c r="I130" t="s">
        <v>348</v>
      </c>
    </row>
    <row r="131" spans="1:9" x14ac:dyDescent="0.25">
      <c r="A131" t="s">
        <v>9</v>
      </c>
      <c r="B131" t="s">
        <v>167</v>
      </c>
      <c r="C131">
        <v>1532</v>
      </c>
      <c r="D131">
        <v>123</v>
      </c>
      <c r="E131" t="s">
        <v>11</v>
      </c>
      <c r="F131" t="s">
        <v>354</v>
      </c>
      <c r="G131" t="s">
        <v>13</v>
      </c>
      <c r="H131" t="s">
        <v>366</v>
      </c>
      <c r="I131" t="s">
        <v>348</v>
      </c>
    </row>
    <row r="132" spans="1:9" x14ac:dyDescent="0.25">
      <c r="A132" t="s">
        <v>9</v>
      </c>
      <c r="B132" t="s">
        <v>169</v>
      </c>
      <c r="C132">
        <v>1660</v>
      </c>
      <c r="D132">
        <v>128</v>
      </c>
      <c r="E132" t="s">
        <v>11</v>
      </c>
      <c r="F132" t="s">
        <v>364</v>
      </c>
      <c r="G132" t="s">
        <v>13</v>
      </c>
      <c r="H132" t="s">
        <v>367</v>
      </c>
      <c r="I132" t="s">
        <v>348</v>
      </c>
    </row>
    <row r="133" spans="1:9" x14ac:dyDescent="0.25">
      <c r="A133" t="s">
        <v>9</v>
      </c>
      <c r="B133" t="s">
        <v>171</v>
      </c>
      <c r="C133">
        <v>1785</v>
      </c>
      <c r="D133">
        <v>125</v>
      </c>
      <c r="E133" t="s">
        <v>11</v>
      </c>
      <c r="F133" t="s">
        <v>358</v>
      </c>
      <c r="G133" t="s">
        <v>13</v>
      </c>
      <c r="H133" t="s">
        <v>368</v>
      </c>
      <c r="I133" t="s">
        <v>348</v>
      </c>
    </row>
    <row r="134" spans="1:9" x14ac:dyDescent="0.25">
      <c r="A134" t="s">
        <v>9</v>
      </c>
      <c r="B134" t="s">
        <v>173</v>
      </c>
      <c r="C134">
        <v>1912</v>
      </c>
      <c r="D134">
        <v>127</v>
      </c>
      <c r="E134" t="s">
        <v>11</v>
      </c>
      <c r="F134" t="s">
        <v>349</v>
      </c>
      <c r="G134" t="s">
        <v>13</v>
      </c>
      <c r="H134" t="s">
        <v>369</v>
      </c>
      <c r="I134" t="s">
        <v>348</v>
      </c>
    </row>
    <row r="135" spans="1:9" x14ac:dyDescent="0.25">
      <c r="A135" t="s">
        <v>9</v>
      </c>
      <c r="B135" t="s">
        <v>175</v>
      </c>
      <c r="C135">
        <v>2038</v>
      </c>
      <c r="D135">
        <v>126</v>
      </c>
      <c r="E135" t="s">
        <v>11</v>
      </c>
      <c r="F135" t="s">
        <v>352</v>
      </c>
      <c r="G135" t="s">
        <v>13</v>
      </c>
      <c r="H135" t="s">
        <v>370</v>
      </c>
      <c r="I135" t="s">
        <v>348</v>
      </c>
    </row>
    <row r="136" spans="1:9" x14ac:dyDescent="0.25">
      <c r="A136" t="s">
        <v>35</v>
      </c>
      <c r="B136" t="s">
        <v>177</v>
      </c>
      <c r="C136">
        <v>2164</v>
      </c>
      <c r="D136">
        <v>126</v>
      </c>
      <c r="E136" t="s">
        <v>11</v>
      </c>
      <c r="F136" t="s">
        <v>352</v>
      </c>
      <c r="G136" t="s">
        <v>371</v>
      </c>
      <c r="H136" t="s">
        <v>372</v>
      </c>
      <c r="I136" t="s">
        <v>348</v>
      </c>
    </row>
    <row r="137" spans="1:9" x14ac:dyDescent="0.25">
      <c r="A137" t="s">
        <v>9</v>
      </c>
      <c r="B137" t="s">
        <v>373</v>
      </c>
      <c r="C137">
        <v>116</v>
      </c>
      <c r="D137">
        <v>123</v>
      </c>
      <c r="E137" t="s">
        <v>11</v>
      </c>
      <c r="F137" t="s">
        <v>374</v>
      </c>
      <c r="G137" t="s">
        <v>13</v>
      </c>
      <c r="H137" t="s">
        <v>375</v>
      </c>
      <c r="I137" t="s">
        <v>376</v>
      </c>
    </row>
    <row r="138" spans="1:9" x14ac:dyDescent="0.25">
      <c r="A138" t="s">
        <v>9</v>
      </c>
      <c r="B138" t="s">
        <v>377</v>
      </c>
      <c r="C138">
        <v>244</v>
      </c>
      <c r="D138">
        <v>128</v>
      </c>
      <c r="E138" t="s">
        <v>11</v>
      </c>
      <c r="F138" t="s">
        <v>378</v>
      </c>
      <c r="G138" t="s">
        <v>13</v>
      </c>
      <c r="H138" t="s">
        <v>379</v>
      </c>
      <c r="I138" t="s">
        <v>376</v>
      </c>
    </row>
    <row r="139" spans="1:9" x14ac:dyDescent="0.25">
      <c r="A139" t="s">
        <v>9</v>
      </c>
      <c r="B139" t="s">
        <v>380</v>
      </c>
      <c r="C139">
        <v>368</v>
      </c>
      <c r="D139">
        <v>124</v>
      </c>
      <c r="E139" t="s">
        <v>11</v>
      </c>
      <c r="F139" t="s">
        <v>381</v>
      </c>
      <c r="G139" t="s">
        <v>13</v>
      </c>
      <c r="H139" t="s">
        <v>382</v>
      </c>
      <c r="I139" t="s">
        <v>376</v>
      </c>
    </row>
    <row r="140" spans="1:9" x14ac:dyDescent="0.25">
      <c r="A140" t="s">
        <v>9</v>
      </c>
      <c r="B140" t="s">
        <v>383</v>
      </c>
      <c r="C140">
        <v>490</v>
      </c>
      <c r="D140">
        <v>122</v>
      </c>
      <c r="E140" t="s">
        <v>11</v>
      </c>
      <c r="F140" t="s">
        <v>384</v>
      </c>
      <c r="G140" t="s">
        <v>13</v>
      </c>
      <c r="H140" t="s">
        <v>385</v>
      </c>
      <c r="I140" t="s">
        <v>376</v>
      </c>
    </row>
    <row r="141" spans="1:9" x14ac:dyDescent="0.25">
      <c r="A141" t="s">
        <v>35</v>
      </c>
      <c r="B141" t="s">
        <v>386</v>
      </c>
      <c r="C141">
        <v>617</v>
      </c>
      <c r="D141">
        <v>127</v>
      </c>
      <c r="E141" t="s">
        <v>11</v>
      </c>
      <c r="F141" t="s">
        <v>387</v>
      </c>
      <c r="G141" t="s">
        <v>388</v>
      </c>
      <c r="H141" t="s">
        <v>389</v>
      </c>
      <c r="I141" t="s">
        <v>376</v>
      </c>
    </row>
    <row r="142" spans="1:9" x14ac:dyDescent="0.25">
      <c r="A142" t="s">
        <v>9</v>
      </c>
      <c r="B142" t="s">
        <v>390</v>
      </c>
      <c r="C142">
        <v>744</v>
      </c>
      <c r="D142">
        <v>127</v>
      </c>
      <c r="E142" t="s">
        <v>11</v>
      </c>
      <c r="F142" t="s">
        <v>391</v>
      </c>
      <c r="G142" t="s">
        <v>13</v>
      </c>
      <c r="H142" t="s">
        <v>392</v>
      </c>
      <c r="I142" t="s">
        <v>376</v>
      </c>
    </row>
    <row r="143" spans="1:9" x14ac:dyDescent="0.25">
      <c r="A143" t="s">
        <v>35</v>
      </c>
      <c r="B143" t="s">
        <v>393</v>
      </c>
      <c r="C143">
        <v>868</v>
      </c>
      <c r="D143">
        <v>124</v>
      </c>
      <c r="E143" t="s">
        <v>11</v>
      </c>
      <c r="F143" t="s">
        <v>394</v>
      </c>
      <c r="G143" t="s">
        <v>395</v>
      </c>
      <c r="H143" t="s">
        <v>396</v>
      </c>
      <c r="I143" t="s">
        <v>376</v>
      </c>
    </row>
    <row r="144" spans="1:9" x14ac:dyDescent="0.25">
      <c r="A144" t="s">
        <v>9</v>
      </c>
      <c r="B144" t="s">
        <v>397</v>
      </c>
      <c r="C144">
        <v>991</v>
      </c>
      <c r="D144">
        <v>123</v>
      </c>
      <c r="E144" t="s">
        <v>11</v>
      </c>
      <c r="F144" t="s">
        <v>398</v>
      </c>
      <c r="G144" t="s">
        <v>13</v>
      </c>
      <c r="H144" t="s">
        <v>399</v>
      </c>
      <c r="I144" t="s">
        <v>376</v>
      </c>
    </row>
    <row r="145" spans="1:9" x14ac:dyDescent="0.25">
      <c r="A145" t="s">
        <v>35</v>
      </c>
      <c r="B145" t="s">
        <v>400</v>
      </c>
      <c r="C145">
        <v>1117</v>
      </c>
      <c r="D145">
        <v>126</v>
      </c>
      <c r="E145" t="s">
        <v>11</v>
      </c>
      <c r="F145" t="s">
        <v>401</v>
      </c>
      <c r="G145" t="s">
        <v>395</v>
      </c>
      <c r="H145" t="s">
        <v>402</v>
      </c>
      <c r="I145" t="s">
        <v>376</v>
      </c>
    </row>
    <row r="146" spans="1:9" x14ac:dyDescent="0.25">
      <c r="A146" t="s">
        <v>9</v>
      </c>
      <c r="B146" t="s">
        <v>403</v>
      </c>
      <c r="C146">
        <v>1242</v>
      </c>
      <c r="D146">
        <v>125</v>
      </c>
      <c r="E146" t="s">
        <v>11</v>
      </c>
      <c r="F146" t="s">
        <v>404</v>
      </c>
      <c r="G146" t="s">
        <v>13</v>
      </c>
      <c r="H146" t="s">
        <v>405</v>
      </c>
      <c r="I146" t="s">
        <v>376</v>
      </c>
    </row>
    <row r="147" spans="1:9" x14ac:dyDescent="0.25">
      <c r="A147" t="s">
        <v>35</v>
      </c>
      <c r="B147" t="s">
        <v>406</v>
      </c>
      <c r="C147">
        <v>1366</v>
      </c>
      <c r="D147">
        <v>124</v>
      </c>
      <c r="E147" t="s">
        <v>11</v>
      </c>
      <c r="F147" t="s">
        <v>407</v>
      </c>
      <c r="G147" t="s">
        <v>408</v>
      </c>
      <c r="H147" t="s">
        <v>409</v>
      </c>
      <c r="I147" t="s">
        <v>376</v>
      </c>
    </row>
    <row r="148" spans="1:9" x14ac:dyDescent="0.25">
      <c r="A148" t="s">
        <v>9</v>
      </c>
      <c r="B148" t="s">
        <v>410</v>
      </c>
      <c r="C148">
        <v>1494</v>
      </c>
      <c r="D148">
        <v>128</v>
      </c>
      <c r="E148" t="s">
        <v>11</v>
      </c>
      <c r="F148" t="s">
        <v>411</v>
      </c>
      <c r="G148" t="s">
        <v>13</v>
      </c>
      <c r="H148" t="s">
        <v>412</v>
      </c>
      <c r="I148" t="s">
        <v>376</v>
      </c>
    </row>
    <row r="149" spans="1:9" x14ac:dyDescent="0.25">
      <c r="A149" t="s">
        <v>35</v>
      </c>
      <c r="B149" t="s">
        <v>413</v>
      </c>
      <c r="C149">
        <v>1617</v>
      </c>
      <c r="D149">
        <v>123</v>
      </c>
      <c r="E149" t="s">
        <v>11</v>
      </c>
      <c r="F149" t="s">
        <v>414</v>
      </c>
      <c r="G149" t="s">
        <v>415</v>
      </c>
      <c r="H149" t="s">
        <v>416</v>
      </c>
      <c r="I149" t="s">
        <v>376</v>
      </c>
    </row>
    <row r="150" spans="1:9" x14ac:dyDescent="0.25">
      <c r="A150" t="s">
        <v>9</v>
      </c>
      <c r="B150" t="s">
        <v>417</v>
      </c>
      <c r="C150">
        <v>1743</v>
      </c>
      <c r="D150">
        <v>126</v>
      </c>
      <c r="E150" t="s">
        <v>11</v>
      </c>
      <c r="F150" t="s">
        <v>418</v>
      </c>
      <c r="G150" t="s">
        <v>13</v>
      </c>
      <c r="H150" t="s">
        <v>419</v>
      </c>
      <c r="I150" t="s">
        <v>376</v>
      </c>
    </row>
    <row r="151" spans="1:9" x14ac:dyDescent="0.25">
      <c r="A151" t="s">
        <v>35</v>
      </c>
      <c r="B151" t="s">
        <v>420</v>
      </c>
      <c r="C151">
        <v>1870</v>
      </c>
      <c r="D151">
        <v>127</v>
      </c>
      <c r="E151" t="s">
        <v>11</v>
      </c>
      <c r="F151" t="s">
        <v>421</v>
      </c>
      <c r="G151" t="s">
        <v>422</v>
      </c>
      <c r="H151" t="s">
        <v>423</v>
      </c>
      <c r="I151" t="s">
        <v>376</v>
      </c>
    </row>
    <row r="152" spans="1:9" x14ac:dyDescent="0.25">
      <c r="A152" t="s">
        <v>9</v>
      </c>
      <c r="B152" t="s">
        <v>373</v>
      </c>
      <c r="C152">
        <v>116</v>
      </c>
      <c r="D152">
        <v>123</v>
      </c>
      <c r="E152" t="s">
        <v>424</v>
      </c>
      <c r="F152" t="s">
        <v>425</v>
      </c>
      <c r="G152" t="s">
        <v>13</v>
      </c>
      <c r="H152" t="s">
        <v>426</v>
      </c>
      <c r="I152" t="s">
        <v>427</v>
      </c>
    </row>
    <row r="153" spans="1:9" x14ac:dyDescent="0.25">
      <c r="A153" t="s">
        <v>9</v>
      </c>
      <c r="B153" t="s">
        <v>377</v>
      </c>
      <c r="C153">
        <v>244</v>
      </c>
      <c r="D153">
        <v>128</v>
      </c>
      <c r="E153" t="s">
        <v>428</v>
      </c>
      <c r="F153" t="s">
        <v>429</v>
      </c>
      <c r="G153" t="s">
        <v>13</v>
      </c>
      <c r="H153" t="s">
        <v>430</v>
      </c>
      <c r="I153" t="s">
        <v>427</v>
      </c>
    </row>
    <row r="154" spans="1:9" x14ac:dyDescent="0.25">
      <c r="A154" t="s">
        <v>9</v>
      </c>
      <c r="B154" t="s">
        <v>380</v>
      </c>
      <c r="C154">
        <v>368</v>
      </c>
      <c r="D154">
        <v>124</v>
      </c>
      <c r="E154" t="s">
        <v>431</v>
      </c>
      <c r="F154" t="s">
        <v>432</v>
      </c>
      <c r="G154" t="s">
        <v>13</v>
      </c>
      <c r="H154" t="s">
        <v>433</v>
      </c>
      <c r="I154" t="s">
        <v>427</v>
      </c>
    </row>
    <row r="155" spans="1:9" x14ac:dyDescent="0.25">
      <c r="A155" t="s">
        <v>9</v>
      </c>
      <c r="B155" t="s">
        <v>383</v>
      </c>
      <c r="C155">
        <v>490</v>
      </c>
      <c r="D155">
        <v>122</v>
      </c>
      <c r="E155" t="s">
        <v>434</v>
      </c>
      <c r="F155" t="s">
        <v>435</v>
      </c>
      <c r="G155" t="s">
        <v>13</v>
      </c>
      <c r="H155" t="s">
        <v>436</v>
      </c>
      <c r="I155" t="s">
        <v>427</v>
      </c>
    </row>
    <row r="156" spans="1:9" x14ac:dyDescent="0.25">
      <c r="A156" t="s">
        <v>35</v>
      </c>
      <c r="B156" t="s">
        <v>386</v>
      </c>
      <c r="C156">
        <v>617</v>
      </c>
      <c r="D156">
        <v>127</v>
      </c>
      <c r="E156" t="s">
        <v>437</v>
      </c>
      <c r="F156" t="s">
        <v>438</v>
      </c>
      <c r="G156" t="s">
        <v>439</v>
      </c>
      <c r="H156" t="s">
        <v>440</v>
      </c>
      <c r="I156" t="s">
        <v>427</v>
      </c>
    </row>
    <row r="157" spans="1:9" x14ac:dyDescent="0.25">
      <c r="A157" t="s">
        <v>35</v>
      </c>
      <c r="B157" t="s">
        <v>53</v>
      </c>
      <c r="C157">
        <v>73</v>
      </c>
      <c r="D157">
        <v>251</v>
      </c>
      <c r="E157" t="s">
        <v>11</v>
      </c>
      <c r="F157" t="s">
        <v>441</v>
      </c>
      <c r="G157" t="s">
        <v>442</v>
      </c>
      <c r="H157" t="s">
        <v>443</v>
      </c>
      <c r="I157" t="s">
        <v>444</v>
      </c>
    </row>
    <row r="158" spans="1:9" x14ac:dyDescent="0.25">
      <c r="A158" t="s">
        <v>35</v>
      </c>
      <c r="B158" t="s">
        <v>60</v>
      </c>
      <c r="C158">
        <v>323</v>
      </c>
      <c r="D158">
        <v>250</v>
      </c>
      <c r="E158" t="s">
        <v>11</v>
      </c>
      <c r="F158" t="s">
        <v>445</v>
      </c>
      <c r="G158" t="s">
        <v>446</v>
      </c>
      <c r="H158" t="s">
        <v>447</v>
      </c>
      <c r="I158" t="s">
        <v>444</v>
      </c>
    </row>
    <row r="159" spans="1:9" x14ac:dyDescent="0.25">
      <c r="A159" t="s">
        <v>35</v>
      </c>
      <c r="B159" t="s">
        <v>66</v>
      </c>
      <c r="C159">
        <v>573</v>
      </c>
      <c r="D159">
        <v>250</v>
      </c>
      <c r="E159" t="s">
        <v>11</v>
      </c>
      <c r="F159" t="s">
        <v>448</v>
      </c>
      <c r="G159" t="s">
        <v>449</v>
      </c>
      <c r="H159" t="s">
        <v>450</v>
      </c>
      <c r="I159" t="s">
        <v>444</v>
      </c>
    </row>
    <row r="160" spans="1:9" x14ac:dyDescent="0.25">
      <c r="A160" t="s">
        <v>35</v>
      </c>
      <c r="B160" t="s">
        <v>70</v>
      </c>
      <c r="C160">
        <v>826</v>
      </c>
      <c r="D160">
        <v>253</v>
      </c>
      <c r="E160" t="s">
        <v>11</v>
      </c>
      <c r="F160" t="s">
        <v>451</v>
      </c>
      <c r="G160" t="s">
        <v>452</v>
      </c>
      <c r="H160" t="s">
        <v>453</v>
      </c>
      <c r="I160" t="s">
        <v>444</v>
      </c>
    </row>
    <row r="161" spans="1:9" x14ac:dyDescent="0.25">
      <c r="A161" t="s">
        <v>35</v>
      </c>
      <c r="B161" t="s">
        <v>76</v>
      </c>
      <c r="C161">
        <v>1074</v>
      </c>
      <c r="D161">
        <v>248</v>
      </c>
      <c r="E161" t="s">
        <v>11</v>
      </c>
      <c r="F161" t="s">
        <v>454</v>
      </c>
      <c r="G161" t="s">
        <v>455</v>
      </c>
      <c r="H161" t="s">
        <v>456</v>
      </c>
      <c r="I161" t="s">
        <v>444</v>
      </c>
    </row>
    <row r="162" spans="1:9" x14ac:dyDescent="0.25">
      <c r="A162" t="s">
        <v>35</v>
      </c>
      <c r="B162" t="s">
        <v>82</v>
      </c>
      <c r="C162">
        <v>1324</v>
      </c>
      <c r="D162">
        <v>250</v>
      </c>
      <c r="E162" t="s">
        <v>11</v>
      </c>
      <c r="F162" t="s">
        <v>457</v>
      </c>
      <c r="G162" t="s">
        <v>455</v>
      </c>
      <c r="H162" t="s">
        <v>458</v>
      </c>
      <c r="I162" t="s">
        <v>444</v>
      </c>
    </row>
    <row r="163" spans="1:9" x14ac:dyDescent="0.25">
      <c r="A163" t="s">
        <v>35</v>
      </c>
      <c r="B163" t="s">
        <v>89</v>
      </c>
      <c r="C163">
        <v>1573</v>
      </c>
      <c r="D163">
        <v>249</v>
      </c>
      <c r="E163" t="s">
        <v>11</v>
      </c>
      <c r="F163" t="s">
        <v>459</v>
      </c>
      <c r="G163" t="s">
        <v>460</v>
      </c>
      <c r="H163" t="s">
        <v>461</v>
      </c>
      <c r="I163" t="s">
        <v>444</v>
      </c>
    </row>
    <row r="164" spans="1:9" x14ac:dyDescent="0.25">
      <c r="A164" t="s">
        <v>35</v>
      </c>
      <c r="B164" t="s">
        <v>462</v>
      </c>
      <c r="C164">
        <v>1826</v>
      </c>
      <c r="D164">
        <v>253</v>
      </c>
      <c r="E164" t="s">
        <v>11</v>
      </c>
      <c r="F164" t="s">
        <v>463</v>
      </c>
      <c r="G164" t="s">
        <v>464</v>
      </c>
      <c r="H164" t="s">
        <v>465</v>
      </c>
      <c r="I164" t="s">
        <v>444</v>
      </c>
    </row>
    <row r="165" spans="1:9" x14ac:dyDescent="0.25">
      <c r="A165" t="s">
        <v>35</v>
      </c>
      <c r="B165" t="s">
        <v>466</v>
      </c>
      <c r="C165">
        <v>2079</v>
      </c>
      <c r="D165">
        <v>253</v>
      </c>
      <c r="E165" t="s">
        <v>11</v>
      </c>
      <c r="F165" t="s">
        <v>467</v>
      </c>
      <c r="G165" t="s">
        <v>468</v>
      </c>
      <c r="H165" t="s">
        <v>469</v>
      </c>
      <c r="I165" t="s">
        <v>444</v>
      </c>
    </row>
    <row r="166" spans="1:9" x14ac:dyDescent="0.25">
      <c r="A166" t="s">
        <v>9</v>
      </c>
      <c r="B166" t="s">
        <v>10</v>
      </c>
      <c r="C166">
        <v>11</v>
      </c>
      <c r="D166">
        <v>124</v>
      </c>
      <c r="E166" t="s">
        <v>11</v>
      </c>
      <c r="F166" t="s">
        <v>470</v>
      </c>
      <c r="G166" t="s">
        <v>13</v>
      </c>
      <c r="H166" t="s">
        <v>471</v>
      </c>
      <c r="I166" t="s">
        <v>472</v>
      </c>
    </row>
    <row r="167" spans="1:9" x14ac:dyDescent="0.25">
      <c r="A167" t="s">
        <v>9</v>
      </c>
      <c r="B167" t="s">
        <v>16</v>
      </c>
      <c r="C167">
        <v>137</v>
      </c>
      <c r="D167">
        <v>126</v>
      </c>
      <c r="E167" t="s">
        <v>11</v>
      </c>
      <c r="F167" t="s">
        <v>473</v>
      </c>
      <c r="G167" t="s">
        <v>13</v>
      </c>
      <c r="H167" t="s">
        <v>474</v>
      </c>
      <c r="I167" t="s">
        <v>472</v>
      </c>
    </row>
    <row r="168" spans="1:9" x14ac:dyDescent="0.25">
      <c r="A168" t="s">
        <v>9</v>
      </c>
      <c r="B168" t="s">
        <v>19</v>
      </c>
      <c r="C168">
        <v>262</v>
      </c>
      <c r="D168">
        <v>125</v>
      </c>
      <c r="E168" t="s">
        <v>11</v>
      </c>
      <c r="F168" t="s">
        <v>475</v>
      </c>
      <c r="G168" t="s">
        <v>13</v>
      </c>
      <c r="H168" t="s">
        <v>476</v>
      </c>
      <c r="I168" t="s">
        <v>472</v>
      </c>
    </row>
    <row r="169" spans="1:9" x14ac:dyDescent="0.25">
      <c r="A169" t="s">
        <v>9</v>
      </c>
      <c r="B169" t="s">
        <v>22</v>
      </c>
      <c r="C169">
        <v>388</v>
      </c>
      <c r="D169">
        <v>126</v>
      </c>
      <c r="E169" t="s">
        <v>11</v>
      </c>
      <c r="F169" t="s">
        <v>473</v>
      </c>
      <c r="G169" t="s">
        <v>13</v>
      </c>
      <c r="H169" t="s">
        <v>477</v>
      </c>
      <c r="I169" t="s">
        <v>472</v>
      </c>
    </row>
    <row r="170" spans="1:9" x14ac:dyDescent="0.25">
      <c r="A170" t="s">
        <v>9</v>
      </c>
      <c r="B170" t="s">
        <v>24</v>
      </c>
      <c r="C170">
        <v>510</v>
      </c>
      <c r="D170">
        <v>122</v>
      </c>
      <c r="E170" t="s">
        <v>11</v>
      </c>
      <c r="F170" t="s">
        <v>478</v>
      </c>
      <c r="G170" t="s">
        <v>13</v>
      </c>
      <c r="H170" t="s">
        <v>479</v>
      </c>
      <c r="I170" t="s">
        <v>472</v>
      </c>
    </row>
    <row r="171" spans="1:9" x14ac:dyDescent="0.25">
      <c r="A171" t="s">
        <v>9</v>
      </c>
      <c r="B171" t="s">
        <v>27</v>
      </c>
      <c r="C171">
        <v>638</v>
      </c>
      <c r="D171">
        <v>128</v>
      </c>
      <c r="E171" t="s">
        <v>11</v>
      </c>
      <c r="F171" t="s">
        <v>480</v>
      </c>
      <c r="G171" t="s">
        <v>13</v>
      </c>
      <c r="H171" t="s">
        <v>481</v>
      </c>
      <c r="I171" t="s">
        <v>472</v>
      </c>
    </row>
    <row r="172" spans="1:9" x14ac:dyDescent="0.25">
      <c r="A172" t="s">
        <v>9</v>
      </c>
      <c r="B172" t="s">
        <v>30</v>
      </c>
      <c r="C172">
        <v>763</v>
      </c>
      <c r="D172">
        <v>125</v>
      </c>
      <c r="E172" t="s">
        <v>11</v>
      </c>
      <c r="F172" t="s">
        <v>475</v>
      </c>
      <c r="G172" t="s">
        <v>13</v>
      </c>
      <c r="H172" t="s">
        <v>482</v>
      </c>
      <c r="I172" t="s">
        <v>472</v>
      </c>
    </row>
    <row r="173" spans="1:9" x14ac:dyDescent="0.25">
      <c r="A173" t="s">
        <v>9</v>
      </c>
      <c r="B173" t="s">
        <v>32</v>
      </c>
      <c r="C173">
        <v>890</v>
      </c>
      <c r="D173">
        <v>127</v>
      </c>
      <c r="E173" t="s">
        <v>11</v>
      </c>
      <c r="F173" t="s">
        <v>483</v>
      </c>
      <c r="G173" t="s">
        <v>13</v>
      </c>
      <c r="H173" t="s">
        <v>484</v>
      </c>
      <c r="I173" t="s">
        <v>472</v>
      </c>
    </row>
    <row r="174" spans="1:9" x14ac:dyDescent="0.25">
      <c r="A174" t="s">
        <v>9</v>
      </c>
      <c r="B174" t="s">
        <v>36</v>
      </c>
      <c r="C174">
        <v>1011</v>
      </c>
      <c r="D174">
        <v>121</v>
      </c>
      <c r="E174" t="s">
        <v>11</v>
      </c>
      <c r="F174" t="s">
        <v>485</v>
      </c>
      <c r="G174" t="s">
        <v>13</v>
      </c>
      <c r="H174" t="s">
        <v>486</v>
      </c>
      <c r="I174" t="s">
        <v>472</v>
      </c>
    </row>
    <row r="175" spans="1:9" x14ac:dyDescent="0.25">
      <c r="A175" t="s">
        <v>35</v>
      </c>
      <c r="B175" t="s">
        <v>40</v>
      </c>
      <c r="C175">
        <v>1139</v>
      </c>
      <c r="D175">
        <v>128</v>
      </c>
      <c r="E175" t="s">
        <v>11</v>
      </c>
      <c r="F175" t="s">
        <v>480</v>
      </c>
      <c r="G175" t="s">
        <v>487</v>
      </c>
      <c r="H175" t="s">
        <v>488</v>
      </c>
      <c r="I175" t="s">
        <v>472</v>
      </c>
    </row>
    <row r="176" spans="1:9" x14ac:dyDescent="0.25">
      <c r="A176" t="s">
        <v>9</v>
      </c>
      <c r="B176" t="s">
        <v>43</v>
      </c>
      <c r="C176">
        <v>1260</v>
      </c>
      <c r="D176">
        <v>121</v>
      </c>
      <c r="E176" t="s">
        <v>11</v>
      </c>
      <c r="F176" t="s">
        <v>489</v>
      </c>
      <c r="G176" t="s">
        <v>13</v>
      </c>
      <c r="H176" t="s">
        <v>490</v>
      </c>
      <c r="I176" t="s">
        <v>472</v>
      </c>
    </row>
    <row r="177" spans="1:9" x14ac:dyDescent="0.25">
      <c r="A177" t="s">
        <v>35</v>
      </c>
      <c r="B177" t="s">
        <v>47</v>
      </c>
      <c r="C177">
        <v>1388</v>
      </c>
      <c r="D177">
        <v>128</v>
      </c>
      <c r="E177" t="s">
        <v>11</v>
      </c>
      <c r="F177" t="s">
        <v>491</v>
      </c>
      <c r="G177" t="s">
        <v>492</v>
      </c>
      <c r="H177" t="s">
        <v>493</v>
      </c>
      <c r="I177" t="s">
        <v>472</v>
      </c>
    </row>
    <row r="178" spans="1:9" x14ac:dyDescent="0.25">
      <c r="A178" t="s">
        <v>9</v>
      </c>
      <c r="B178" t="s">
        <v>50</v>
      </c>
      <c r="C178">
        <v>1512</v>
      </c>
      <c r="D178">
        <v>124</v>
      </c>
      <c r="E178" t="s">
        <v>11</v>
      </c>
      <c r="F178" t="s">
        <v>494</v>
      </c>
      <c r="G178" t="s">
        <v>13</v>
      </c>
      <c r="H178" t="s">
        <v>495</v>
      </c>
      <c r="I178" t="s">
        <v>472</v>
      </c>
    </row>
    <row r="179" spans="1:9" x14ac:dyDescent="0.25">
      <c r="A179" t="s">
        <v>35</v>
      </c>
      <c r="B179" t="s">
        <v>343</v>
      </c>
      <c r="C179">
        <v>1638</v>
      </c>
      <c r="D179">
        <v>126</v>
      </c>
      <c r="E179" t="s">
        <v>11</v>
      </c>
      <c r="F179" t="s">
        <v>496</v>
      </c>
      <c r="G179" t="s">
        <v>492</v>
      </c>
      <c r="H179" t="s">
        <v>497</v>
      </c>
      <c r="I179" t="s">
        <v>472</v>
      </c>
    </row>
    <row r="180" spans="1:9" x14ac:dyDescent="0.25">
      <c r="A180" t="s">
        <v>35</v>
      </c>
      <c r="B180" t="s">
        <v>498</v>
      </c>
      <c r="C180">
        <v>51</v>
      </c>
      <c r="D180">
        <v>120</v>
      </c>
      <c r="E180" t="s">
        <v>11</v>
      </c>
      <c r="F180" t="s">
        <v>499</v>
      </c>
      <c r="G180" t="s">
        <v>500</v>
      </c>
      <c r="H180" t="s">
        <v>501</v>
      </c>
      <c r="I180" t="s">
        <v>502</v>
      </c>
    </row>
    <row r="181" spans="1:9" x14ac:dyDescent="0.25">
      <c r="A181" t="s">
        <v>35</v>
      </c>
      <c r="B181" t="s">
        <v>503</v>
      </c>
      <c r="C181">
        <v>182</v>
      </c>
      <c r="D181">
        <v>131</v>
      </c>
      <c r="E181" t="s">
        <v>11</v>
      </c>
      <c r="F181" t="s">
        <v>504</v>
      </c>
      <c r="G181" t="s">
        <v>505</v>
      </c>
      <c r="H181" t="s">
        <v>506</v>
      </c>
      <c r="I181" t="s">
        <v>502</v>
      </c>
    </row>
    <row r="182" spans="1:9" x14ac:dyDescent="0.25">
      <c r="A182" t="s">
        <v>35</v>
      </c>
      <c r="B182" t="s">
        <v>507</v>
      </c>
      <c r="C182">
        <v>303</v>
      </c>
      <c r="D182">
        <v>121</v>
      </c>
      <c r="E182" t="s">
        <v>11</v>
      </c>
      <c r="F182" t="s">
        <v>508</v>
      </c>
      <c r="G182" t="s">
        <v>509</v>
      </c>
      <c r="H182" t="s">
        <v>510</v>
      </c>
      <c r="I182" t="s">
        <v>502</v>
      </c>
    </row>
    <row r="183" spans="1:9" x14ac:dyDescent="0.25">
      <c r="A183" t="s">
        <v>35</v>
      </c>
      <c r="B183" t="s">
        <v>511</v>
      </c>
      <c r="C183">
        <v>430</v>
      </c>
      <c r="D183">
        <v>127</v>
      </c>
      <c r="E183" t="s">
        <v>11</v>
      </c>
      <c r="F183" t="s">
        <v>512</v>
      </c>
      <c r="G183" t="s">
        <v>513</v>
      </c>
      <c r="H183" t="s">
        <v>514</v>
      </c>
      <c r="I183" t="s">
        <v>502</v>
      </c>
    </row>
    <row r="184" spans="1:9" x14ac:dyDescent="0.25">
      <c r="A184" t="s">
        <v>35</v>
      </c>
      <c r="B184" t="s">
        <v>515</v>
      </c>
      <c r="C184">
        <v>553</v>
      </c>
      <c r="D184">
        <v>123</v>
      </c>
      <c r="E184" t="s">
        <v>11</v>
      </c>
      <c r="F184" t="s">
        <v>516</v>
      </c>
      <c r="G184" t="s">
        <v>517</v>
      </c>
      <c r="H184" t="s">
        <v>518</v>
      </c>
      <c r="I184" t="s">
        <v>502</v>
      </c>
    </row>
    <row r="185" spans="1:9" x14ac:dyDescent="0.25">
      <c r="A185" t="s">
        <v>35</v>
      </c>
      <c r="B185" t="s">
        <v>519</v>
      </c>
      <c r="C185">
        <v>679</v>
      </c>
      <c r="D185">
        <v>126</v>
      </c>
      <c r="E185" t="s">
        <v>11</v>
      </c>
      <c r="F185" t="s">
        <v>520</v>
      </c>
      <c r="G185" t="s">
        <v>521</v>
      </c>
      <c r="H185" t="s">
        <v>522</v>
      </c>
      <c r="I185" t="s">
        <v>502</v>
      </c>
    </row>
    <row r="186" spans="1:9" x14ac:dyDescent="0.25">
      <c r="A186" t="s">
        <v>35</v>
      </c>
      <c r="B186" t="s">
        <v>523</v>
      </c>
      <c r="C186">
        <v>803</v>
      </c>
      <c r="D186">
        <v>124</v>
      </c>
      <c r="E186" t="s">
        <v>11</v>
      </c>
      <c r="F186" t="s">
        <v>524</v>
      </c>
      <c r="G186" t="s">
        <v>525</v>
      </c>
      <c r="H186" t="s">
        <v>526</v>
      </c>
      <c r="I186" t="s">
        <v>502</v>
      </c>
    </row>
    <row r="187" spans="1:9" x14ac:dyDescent="0.25">
      <c r="A187" t="s">
        <v>35</v>
      </c>
      <c r="B187" t="s">
        <v>527</v>
      </c>
      <c r="C187">
        <v>931</v>
      </c>
      <c r="D187">
        <v>128</v>
      </c>
      <c r="E187" t="s">
        <v>11</v>
      </c>
      <c r="F187" t="s">
        <v>528</v>
      </c>
      <c r="G187" t="s">
        <v>529</v>
      </c>
      <c r="H187" t="s">
        <v>530</v>
      </c>
      <c r="I187" t="s">
        <v>502</v>
      </c>
    </row>
    <row r="188" spans="1:9" x14ac:dyDescent="0.25">
      <c r="A188" t="s">
        <v>35</v>
      </c>
      <c r="B188" t="s">
        <v>531</v>
      </c>
      <c r="C188">
        <v>1052</v>
      </c>
      <c r="D188">
        <v>121</v>
      </c>
      <c r="E188" t="s">
        <v>11</v>
      </c>
      <c r="F188" t="s">
        <v>532</v>
      </c>
      <c r="G188" t="s">
        <v>533</v>
      </c>
      <c r="H188" t="s">
        <v>534</v>
      </c>
      <c r="I188" t="s">
        <v>502</v>
      </c>
    </row>
    <row r="189" spans="1:9" x14ac:dyDescent="0.25">
      <c r="A189" t="s">
        <v>35</v>
      </c>
      <c r="B189" t="s">
        <v>535</v>
      </c>
      <c r="C189">
        <v>1180</v>
      </c>
      <c r="D189">
        <v>128</v>
      </c>
      <c r="E189" t="s">
        <v>11</v>
      </c>
      <c r="F189" t="s">
        <v>536</v>
      </c>
      <c r="G189" t="s">
        <v>537</v>
      </c>
      <c r="H189" t="s">
        <v>538</v>
      </c>
      <c r="I189" t="s">
        <v>502</v>
      </c>
    </row>
    <row r="190" spans="1:9" x14ac:dyDescent="0.25">
      <c r="A190" t="s">
        <v>35</v>
      </c>
      <c r="B190" t="s">
        <v>539</v>
      </c>
      <c r="C190">
        <v>1301</v>
      </c>
      <c r="D190">
        <v>121</v>
      </c>
      <c r="E190" t="s">
        <v>11</v>
      </c>
      <c r="F190" t="s">
        <v>540</v>
      </c>
      <c r="G190" t="s">
        <v>541</v>
      </c>
      <c r="H190" t="s">
        <v>542</v>
      </c>
      <c r="I190" t="s">
        <v>502</v>
      </c>
    </row>
    <row r="191" spans="1:9" x14ac:dyDescent="0.25">
      <c r="A191" t="s">
        <v>35</v>
      </c>
      <c r="B191" t="s">
        <v>543</v>
      </c>
      <c r="C191">
        <v>1432</v>
      </c>
      <c r="D191">
        <v>131</v>
      </c>
      <c r="E191" t="s">
        <v>11</v>
      </c>
      <c r="F191" t="s">
        <v>544</v>
      </c>
      <c r="G191" t="s">
        <v>545</v>
      </c>
      <c r="H191" t="s">
        <v>546</v>
      </c>
      <c r="I191" t="s">
        <v>502</v>
      </c>
    </row>
    <row r="192" spans="1:9" x14ac:dyDescent="0.25">
      <c r="A192" t="s">
        <v>35</v>
      </c>
      <c r="B192" t="s">
        <v>547</v>
      </c>
      <c r="C192">
        <v>1552</v>
      </c>
      <c r="D192">
        <v>120</v>
      </c>
      <c r="E192" t="s">
        <v>11</v>
      </c>
      <c r="F192" t="s">
        <v>548</v>
      </c>
      <c r="G192" t="s">
        <v>549</v>
      </c>
      <c r="H192" t="s">
        <v>550</v>
      </c>
      <c r="I192" t="s">
        <v>502</v>
      </c>
    </row>
    <row r="193" spans="1:9" x14ac:dyDescent="0.25">
      <c r="A193" t="s">
        <v>35</v>
      </c>
      <c r="B193" t="s">
        <v>551</v>
      </c>
      <c r="C193">
        <v>1683</v>
      </c>
      <c r="D193">
        <v>131</v>
      </c>
      <c r="E193" t="s">
        <v>11</v>
      </c>
      <c r="F193" t="s">
        <v>552</v>
      </c>
      <c r="G193" t="s">
        <v>553</v>
      </c>
      <c r="H193" t="s">
        <v>554</v>
      </c>
      <c r="I193" t="s">
        <v>502</v>
      </c>
    </row>
    <row r="194" spans="1:9" x14ac:dyDescent="0.25">
      <c r="A194" t="s">
        <v>35</v>
      </c>
      <c r="B194" t="s">
        <v>555</v>
      </c>
      <c r="C194">
        <v>1806</v>
      </c>
      <c r="D194">
        <v>123</v>
      </c>
      <c r="E194" t="s">
        <v>11</v>
      </c>
      <c r="F194" t="s">
        <v>556</v>
      </c>
      <c r="G194" t="s">
        <v>557</v>
      </c>
      <c r="H194" t="s">
        <v>558</v>
      </c>
      <c r="I194" t="s">
        <v>502</v>
      </c>
    </row>
    <row r="195" spans="1:9" x14ac:dyDescent="0.25">
      <c r="A195" t="s">
        <v>35</v>
      </c>
      <c r="B195" t="s">
        <v>559</v>
      </c>
      <c r="C195">
        <v>1932</v>
      </c>
      <c r="D195">
        <v>126</v>
      </c>
      <c r="E195" t="s">
        <v>11</v>
      </c>
      <c r="F195" t="s">
        <v>560</v>
      </c>
      <c r="G195" t="s">
        <v>561</v>
      </c>
      <c r="H195" t="s">
        <v>562</v>
      </c>
      <c r="I195" t="s">
        <v>502</v>
      </c>
    </row>
    <row r="196" spans="1:9" x14ac:dyDescent="0.25">
      <c r="A196" t="s">
        <v>35</v>
      </c>
      <c r="B196" t="s">
        <v>563</v>
      </c>
      <c r="C196">
        <v>2057</v>
      </c>
      <c r="D196">
        <v>125</v>
      </c>
      <c r="E196" t="s">
        <v>11</v>
      </c>
      <c r="F196" t="s">
        <v>564</v>
      </c>
      <c r="G196" t="s">
        <v>565</v>
      </c>
      <c r="H196" t="s">
        <v>566</v>
      </c>
      <c r="I196" t="s">
        <v>502</v>
      </c>
    </row>
    <row r="197" spans="1:9" x14ac:dyDescent="0.25">
      <c r="A197" t="s">
        <v>35</v>
      </c>
      <c r="B197" t="s">
        <v>567</v>
      </c>
      <c r="C197">
        <v>2184</v>
      </c>
      <c r="D197">
        <v>127</v>
      </c>
      <c r="E197" t="s">
        <v>11</v>
      </c>
      <c r="F197" t="s">
        <v>568</v>
      </c>
      <c r="G197" t="s">
        <v>569</v>
      </c>
      <c r="H197" t="s">
        <v>570</v>
      </c>
      <c r="I197" t="s">
        <v>502</v>
      </c>
    </row>
    <row r="198" spans="1:9" x14ac:dyDescent="0.25">
      <c r="A198" t="s">
        <v>35</v>
      </c>
      <c r="B198" t="s">
        <v>571</v>
      </c>
      <c r="C198">
        <v>2307</v>
      </c>
      <c r="D198">
        <v>123</v>
      </c>
      <c r="E198" t="s">
        <v>11</v>
      </c>
      <c r="F198" t="s">
        <v>572</v>
      </c>
      <c r="G198" t="s">
        <v>573</v>
      </c>
      <c r="H198" t="s">
        <v>574</v>
      </c>
      <c r="I198" t="s">
        <v>502</v>
      </c>
    </row>
    <row r="199" spans="1:9" x14ac:dyDescent="0.25">
      <c r="A199" t="s">
        <v>35</v>
      </c>
      <c r="B199" t="s">
        <v>575</v>
      </c>
      <c r="C199">
        <v>2435</v>
      </c>
      <c r="D199">
        <v>128</v>
      </c>
      <c r="E199" t="s">
        <v>11</v>
      </c>
      <c r="F199" t="s">
        <v>576</v>
      </c>
      <c r="G199" t="s">
        <v>577</v>
      </c>
      <c r="H199" t="s">
        <v>578</v>
      </c>
      <c r="I199" t="s">
        <v>502</v>
      </c>
    </row>
    <row r="200" spans="1:9" x14ac:dyDescent="0.25">
      <c r="A200" t="s">
        <v>35</v>
      </c>
      <c r="B200" t="s">
        <v>579</v>
      </c>
      <c r="C200">
        <v>2556</v>
      </c>
      <c r="D200">
        <v>121</v>
      </c>
      <c r="E200" t="s">
        <v>11</v>
      </c>
      <c r="F200" t="s">
        <v>580</v>
      </c>
      <c r="G200" t="s">
        <v>581</v>
      </c>
      <c r="H200" t="s">
        <v>582</v>
      </c>
      <c r="I200" t="s">
        <v>502</v>
      </c>
    </row>
    <row r="201" spans="1:9" x14ac:dyDescent="0.25">
      <c r="A201" t="s">
        <v>35</v>
      </c>
      <c r="B201" t="s">
        <v>583</v>
      </c>
      <c r="C201">
        <v>2684</v>
      </c>
      <c r="D201">
        <v>128</v>
      </c>
      <c r="E201" t="s">
        <v>11</v>
      </c>
      <c r="F201" t="s">
        <v>584</v>
      </c>
      <c r="G201" t="s">
        <v>585</v>
      </c>
      <c r="H201" t="s">
        <v>586</v>
      </c>
      <c r="I201" t="s">
        <v>502</v>
      </c>
    </row>
    <row r="202" spans="1:9" x14ac:dyDescent="0.25">
      <c r="A202" t="s">
        <v>35</v>
      </c>
      <c r="B202" t="s">
        <v>587</v>
      </c>
      <c r="C202">
        <v>2805</v>
      </c>
      <c r="D202">
        <v>121</v>
      </c>
      <c r="E202" t="s">
        <v>11</v>
      </c>
      <c r="F202" t="s">
        <v>588</v>
      </c>
      <c r="G202" t="s">
        <v>589</v>
      </c>
      <c r="H202" t="s">
        <v>590</v>
      </c>
      <c r="I202" t="s">
        <v>502</v>
      </c>
    </row>
    <row r="203" spans="1:9" x14ac:dyDescent="0.25">
      <c r="A203" t="s">
        <v>35</v>
      </c>
      <c r="B203" t="s">
        <v>591</v>
      </c>
      <c r="C203">
        <v>2936</v>
      </c>
      <c r="D203">
        <v>131</v>
      </c>
      <c r="E203" t="s">
        <v>11</v>
      </c>
      <c r="F203" t="s">
        <v>592</v>
      </c>
      <c r="G203" t="s">
        <v>593</v>
      </c>
      <c r="H203" t="s">
        <v>594</v>
      </c>
      <c r="I203" t="s">
        <v>502</v>
      </c>
    </row>
    <row r="204" spans="1:9" x14ac:dyDescent="0.25">
      <c r="A204" t="s">
        <v>35</v>
      </c>
      <c r="B204" t="s">
        <v>595</v>
      </c>
      <c r="C204">
        <v>3057</v>
      </c>
      <c r="D204">
        <v>121</v>
      </c>
      <c r="E204" t="s">
        <v>11</v>
      </c>
      <c r="F204" t="s">
        <v>596</v>
      </c>
      <c r="G204" t="s">
        <v>597</v>
      </c>
      <c r="H204" t="s">
        <v>598</v>
      </c>
      <c r="I204" t="s">
        <v>502</v>
      </c>
    </row>
    <row r="205" spans="1:9" x14ac:dyDescent="0.25">
      <c r="A205" t="s">
        <v>35</v>
      </c>
      <c r="B205" t="s">
        <v>599</v>
      </c>
      <c r="C205">
        <v>3184</v>
      </c>
      <c r="D205">
        <v>127</v>
      </c>
      <c r="E205" t="s">
        <v>11</v>
      </c>
      <c r="F205" t="s">
        <v>600</v>
      </c>
      <c r="G205" t="s">
        <v>601</v>
      </c>
      <c r="H205" t="s">
        <v>602</v>
      </c>
      <c r="I205" t="s">
        <v>502</v>
      </c>
    </row>
    <row r="206" spans="1:9" x14ac:dyDescent="0.25">
      <c r="A206" t="s">
        <v>35</v>
      </c>
      <c r="B206" t="s">
        <v>603</v>
      </c>
      <c r="C206">
        <v>3307</v>
      </c>
      <c r="D206">
        <v>123</v>
      </c>
      <c r="E206" t="s">
        <v>11</v>
      </c>
      <c r="F206" t="s">
        <v>604</v>
      </c>
      <c r="G206" t="s">
        <v>605</v>
      </c>
      <c r="H206" t="s">
        <v>606</v>
      </c>
      <c r="I206" t="s">
        <v>502</v>
      </c>
    </row>
    <row r="207" spans="1:9" x14ac:dyDescent="0.25">
      <c r="A207" t="s">
        <v>35</v>
      </c>
      <c r="B207" t="s">
        <v>607</v>
      </c>
      <c r="C207">
        <v>3433</v>
      </c>
      <c r="D207">
        <v>126</v>
      </c>
      <c r="E207" t="s">
        <v>11</v>
      </c>
      <c r="F207" t="s">
        <v>608</v>
      </c>
      <c r="G207" t="s">
        <v>609</v>
      </c>
      <c r="H207" t="s">
        <v>610</v>
      </c>
      <c r="I207" t="s">
        <v>502</v>
      </c>
    </row>
    <row r="208" spans="1:9" x14ac:dyDescent="0.25">
      <c r="A208" t="s">
        <v>35</v>
      </c>
      <c r="B208" t="s">
        <v>611</v>
      </c>
      <c r="C208">
        <v>3558</v>
      </c>
      <c r="D208">
        <v>125</v>
      </c>
      <c r="E208" t="s">
        <v>11</v>
      </c>
      <c r="F208" t="s">
        <v>612</v>
      </c>
      <c r="G208" t="s">
        <v>613</v>
      </c>
      <c r="H208" t="s">
        <v>614</v>
      </c>
      <c r="I208" t="s">
        <v>502</v>
      </c>
    </row>
    <row r="209" spans="1:9" x14ac:dyDescent="0.25">
      <c r="A209" t="s">
        <v>35</v>
      </c>
      <c r="B209" t="s">
        <v>615</v>
      </c>
      <c r="C209">
        <v>3685</v>
      </c>
      <c r="D209">
        <v>127</v>
      </c>
      <c r="E209" t="s">
        <v>11</v>
      </c>
      <c r="F209" t="s">
        <v>616</v>
      </c>
      <c r="G209" t="s">
        <v>617</v>
      </c>
      <c r="H209" t="s">
        <v>618</v>
      </c>
      <c r="I209" t="s">
        <v>502</v>
      </c>
    </row>
    <row r="210" spans="1:9" x14ac:dyDescent="0.25">
      <c r="A210" t="s">
        <v>35</v>
      </c>
      <c r="B210" t="s">
        <v>619</v>
      </c>
      <c r="C210">
        <v>3810</v>
      </c>
      <c r="D210">
        <v>125</v>
      </c>
      <c r="E210" t="s">
        <v>11</v>
      </c>
      <c r="F210" t="s">
        <v>620</v>
      </c>
      <c r="G210" t="s">
        <v>621</v>
      </c>
      <c r="H210" t="s">
        <v>622</v>
      </c>
      <c r="I210" t="s">
        <v>502</v>
      </c>
    </row>
    <row r="211" spans="1:9" x14ac:dyDescent="0.25">
      <c r="A211" t="s">
        <v>35</v>
      </c>
      <c r="B211" t="s">
        <v>623</v>
      </c>
      <c r="C211">
        <v>3938</v>
      </c>
      <c r="D211">
        <v>128</v>
      </c>
      <c r="E211" t="s">
        <v>11</v>
      </c>
      <c r="F211" t="s">
        <v>624</v>
      </c>
      <c r="G211" t="s">
        <v>625</v>
      </c>
      <c r="H211" t="s">
        <v>626</v>
      </c>
      <c r="I211" t="s">
        <v>502</v>
      </c>
    </row>
    <row r="212" spans="1:9" x14ac:dyDescent="0.25">
      <c r="A212" t="s">
        <v>35</v>
      </c>
      <c r="B212" t="s">
        <v>627</v>
      </c>
      <c r="C212">
        <v>4059</v>
      </c>
      <c r="D212">
        <v>121</v>
      </c>
      <c r="E212" t="s">
        <v>11</v>
      </c>
      <c r="F212" t="s">
        <v>628</v>
      </c>
      <c r="G212" t="s">
        <v>629</v>
      </c>
      <c r="H212" t="s">
        <v>630</v>
      </c>
      <c r="I212" t="s">
        <v>502</v>
      </c>
    </row>
    <row r="213" spans="1:9" x14ac:dyDescent="0.25">
      <c r="A213" t="s">
        <v>35</v>
      </c>
      <c r="B213" t="s">
        <v>631</v>
      </c>
      <c r="C213">
        <v>4190</v>
      </c>
      <c r="D213">
        <v>131</v>
      </c>
      <c r="E213" t="s">
        <v>11</v>
      </c>
      <c r="F213" t="s">
        <v>632</v>
      </c>
      <c r="G213" t="s">
        <v>633</v>
      </c>
      <c r="H213" t="s">
        <v>634</v>
      </c>
      <c r="I213" t="s">
        <v>502</v>
      </c>
    </row>
    <row r="214" spans="1:9" x14ac:dyDescent="0.25">
      <c r="A214" t="s">
        <v>35</v>
      </c>
      <c r="B214" t="s">
        <v>498</v>
      </c>
      <c r="C214">
        <v>51</v>
      </c>
      <c r="D214">
        <v>120</v>
      </c>
      <c r="E214" t="s">
        <v>11</v>
      </c>
      <c r="F214" t="s">
        <v>635</v>
      </c>
      <c r="G214" t="s">
        <v>636</v>
      </c>
      <c r="H214" t="s">
        <v>637</v>
      </c>
      <c r="I214" t="s">
        <v>638</v>
      </c>
    </row>
    <row r="215" spans="1:9" x14ac:dyDescent="0.25">
      <c r="A215" t="s">
        <v>35</v>
      </c>
      <c r="B215" t="s">
        <v>503</v>
      </c>
      <c r="C215">
        <v>182</v>
      </c>
      <c r="D215">
        <v>131</v>
      </c>
      <c r="E215" t="s">
        <v>11</v>
      </c>
      <c r="F215" t="s">
        <v>639</v>
      </c>
      <c r="G215" t="s">
        <v>640</v>
      </c>
      <c r="H215" t="s">
        <v>641</v>
      </c>
      <c r="I215" t="s">
        <v>638</v>
      </c>
    </row>
    <row r="216" spans="1:9" x14ac:dyDescent="0.25">
      <c r="A216" t="s">
        <v>35</v>
      </c>
      <c r="B216" t="s">
        <v>507</v>
      </c>
      <c r="C216">
        <v>303</v>
      </c>
      <c r="D216">
        <v>121</v>
      </c>
      <c r="E216" t="s">
        <v>11</v>
      </c>
      <c r="F216" t="s">
        <v>642</v>
      </c>
      <c r="G216" t="s">
        <v>643</v>
      </c>
      <c r="H216" t="s">
        <v>644</v>
      </c>
      <c r="I216" t="s">
        <v>638</v>
      </c>
    </row>
    <row r="217" spans="1:9" x14ac:dyDescent="0.25">
      <c r="A217" t="s">
        <v>35</v>
      </c>
      <c r="B217" t="s">
        <v>511</v>
      </c>
      <c r="C217">
        <v>430</v>
      </c>
      <c r="D217">
        <v>127</v>
      </c>
      <c r="E217" t="s">
        <v>11</v>
      </c>
      <c r="F217" t="s">
        <v>645</v>
      </c>
      <c r="G217" t="s">
        <v>646</v>
      </c>
      <c r="H217" t="s">
        <v>647</v>
      </c>
      <c r="I217" t="s">
        <v>638</v>
      </c>
    </row>
    <row r="218" spans="1:9" x14ac:dyDescent="0.25">
      <c r="A218" t="s">
        <v>35</v>
      </c>
      <c r="B218" t="s">
        <v>515</v>
      </c>
      <c r="C218">
        <v>553</v>
      </c>
      <c r="D218">
        <v>123</v>
      </c>
      <c r="E218" t="s">
        <v>11</v>
      </c>
      <c r="F218" t="s">
        <v>648</v>
      </c>
      <c r="G218" t="s">
        <v>649</v>
      </c>
      <c r="H218" t="s">
        <v>650</v>
      </c>
      <c r="I218" t="s">
        <v>638</v>
      </c>
    </row>
    <row r="219" spans="1:9" x14ac:dyDescent="0.25">
      <c r="A219" t="s">
        <v>35</v>
      </c>
      <c r="B219" t="s">
        <v>519</v>
      </c>
      <c r="C219">
        <v>679</v>
      </c>
      <c r="D219">
        <v>126</v>
      </c>
      <c r="E219" t="s">
        <v>11</v>
      </c>
      <c r="F219" t="s">
        <v>651</v>
      </c>
      <c r="G219" t="s">
        <v>652</v>
      </c>
      <c r="H219" t="s">
        <v>653</v>
      </c>
      <c r="I219" t="s">
        <v>638</v>
      </c>
    </row>
    <row r="220" spans="1:9" x14ac:dyDescent="0.25">
      <c r="A220" t="s">
        <v>35</v>
      </c>
      <c r="B220" t="s">
        <v>523</v>
      </c>
      <c r="C220">
        <v>803</v>
      </c>
      <c r="D220">
        <v>124</v>
      </c>
      <c r="E220" t="s">
        <v>11</v>
      </c>
      <c r="F220" t="s">
        <v>654</v>
      </c>
      <c r="G220" t="s">
        <v>655</v>
      </c>
      <c r="H220" t="s">
        <v>656</v>
      </c>
      <c r="I220" t="s">
        <v>638</v>
      </c>
    </row>
    <row r="221" spans="1:9" x14ac:dyDescent="0.25">
      <c r="A221" t="s">
        <v>35</v>
      </c>
      <c r="B221" t="s">
        <v>527</v>
      </c>
      <c r="C221">
        <v>931</v>
      </c>
      <c r="D221">
        <v>128</v>
      </c>
      <c r="E221" t="s">
        <v>11</v>
      </c>
      <c r="F221" t="s">
        <v>657</v>
      </c>
      <c r="G221" t="s">
        <v>658</v>
      </c>
      <c r="H221" t="s">
        <v>659</v>
      </c>
      <c r="I221" t="s">
        <v>638</v>
      </c>
    </row>
    <row r="222" spans="1:9" x14ac:dyDescent="0.25">
      <c r="A222" t="s">
        <v>35</v>
      </c>
      <c r="B222" t="s">
        <v>531</v>
      </c>
      <c r="C222">
        <v>1052</v>
      </c>
      <c r="D222">
        <v>121</v>
      </c>
      <c r="E222" t="s">
        <v>11</v>
      </c>
      <c r="F222" t="s">
        <v>660</v>
      </c>
      <c r="G222" t="s">
        <v>661</v>
      </c>
      <c r="H222" t="s">
        <v>662</v>
      </c>
      <c r="I222" t="s">
        <v>638</v>
      </c>
    </row>
    <row r="223" spans="1:9" x14ac:dyDescent="0.25">
      <c r="A223" t="s">
        <v>35</v>
      </c>
      <c r="B223" t="s">
        <v>535</v>
      </c>
      <c r="C223">
        <v>1180</v>
      </c>
      <c r="D223">
        <v>128</v>
      </c>
      <c r="E223" t="s">
        <v>11</v>
      </c>
      <c r="F223" t="s">
        <v>663</v>
      </c>
      <c r="G223" t="s">
        <v>664</v>
      </c>
      <c r="H223" t="s">
        <v>665</v>
      </c>
      <c r="I223" t="s">
        <v>638</v>
      </c>
    </row>
    <row r="224" spans="1:9" x14ac:dyDescent="0.25">
      <c r="A224" t="s">
        <v>35</v>
      </c>
      <c r="B224" t="s">
        <v>539</v>
      </c>
      <c r="C224">
        <v>1301</v>
      </c>
      <c r="D224">
        <v>121</v>
      </c>
      <c r="E224" t="s">
        <v>11</v>
      </c>
      <c r="F224" t="s">
        <v>666</v>
      </c>
      <c r="G224" t="s">
        <v>667</v>
      </c>
      <c r="H224" t="s">
        <v>668</v>
      </c>
      <c r="I224" t="s">
        <v>638</v>
      </c>
    </row>
    <row r="225" spans="1:9" x14ac:dyDescent="0.25">
      <c r="A225" t="s">
        <v>35</v>
      </c>
      <c r="B225" t="s">
        <v>543</v>
      </c>
      <c r="C225">
        <v>1432</v>
      </c>
      <c r="D225">
        <v>131</v>
      </c>
      <c r="E225" t="s">
        <v>11</v>
      </c>
      <c r="F225" t="s">
        <v>669</v>
      </c>
      <c r="G225" t="s">
        <v>670</v>
      </c>
      <c r="H225" t="s">
        <v>671</v>
      </c>
      <c r="I225" t="s">
        <v>638</v>
      </c>
    </row>
    <row r="226" spans="1:9" x14ac:dyDescent="0.25">
      <c r="A226" t="s">
        <v>35</v>
      </c>
      <c r="B226" t="s">
        <v>547</v>
      </c>
      <c r="C226">
        <v>1552</v>
      </c>
      <c r="D226">
        <v>120</v>
      </c>
      <c r="E226" t="s">
        <v>11</v>
      </c>
      <c r="F226" t="s">
        <v>672</v>
      </c>
      <c r="G226" t="s">
        <v>673</v>
      </c>
      <c r="H226" t="s">
        <v>674</v>
      </c>
      <c r="I226" t="s">
        <v>638</v>
      </c>
    </row>
    <row r="227" spans="1:9" x14ac:dyDescent="0.25">
      <c r="A227" t="s">
        <v>35</v>
      </c>
      <c r="B227" t="s">
        <v>551</v>
      </c>
      <c r="C227">
        <v>1683</v>
      </c>
      <c r="D227">
        <v>131</v>
      </c>
      <c r="E227" t="s">
        <v>11</v>
      </c>
      <c r="F227" t="s">
        <v>675</v>
      </c>
      <c r="G227" t="s">
        <v>676</v>
      </c>
      <c r="H227" t="s">
        <v>677</v>
      </c>
      <c r="I227" t="s">
        <v>638</v>
      </c>
    </row>
    <row r="228" spans="1:9" x14ac:dyDescent="0.25">
      <c r="A228" t="s">
        <v>35</v>
      </c>
      <c r="B228" t="s">
        <v>268</v>
      </c>
      <c r="C228">
        <v>93</v>
      </c>
      <c r="D228">
        <v>123</v>
      </c>
      <c r="E228" t="s">
        <v>11</v>
      </c>
      <c r="F228" t="s">
        <v>678</v>
      </c>
      <c r="G228" t="s">
        <v>679</v>
      </c>
      <c r="H228" t="s">
        <v>680</v>
      </c>
      <c r="I228" t="s">
        <v>681</v>
      </c>
    </row>
    <row r="229" spans="1:9" x14ac:dyDescent="0.25">
      <c r="A229" t="s">
        <v>35</v>
      </c>
      <c r="B229" t="s">
        <v>271</v>
      </c>
      <c r="C229">
        <v>222</v>
      </c>
      <c r="D229">
        <v>129</v>
      </c>
      <c r="E229" t="s">
        <v>11</v>
      </c>
      <c r="F229" t="s">
        <v>682</v>
      </c>
      <c r="G229" t="s">
        <v>683</v>
      </c>
      <c r="H229" t="s">
        <v>684</v>
      </c>
      <c r="I229" t="s">
        <v>681</v>
      </c>
    </row>
    <row r="230" spans="1:9" x14ac:dyDescent="0.25">
      <c r="A230" t="s">
        <v>35</v>
      </c>
      <c r="B230" t="s">
        <v>273</v>
      </c>
      <c r="C230">
        <v>345</v>
      </c>
      <c r="D230">
        <v>123</v>
      </c>
      <c r="E230" t="s">
        <v>11</v>
      </c>
      <c r="F230" t="s">
        <v>685</v>
      </c>
      <c r="G230" t="s">
        <v>686</v>
      </c>
      <c r="H230" t="s">
        <v>687</v>
      </c>
      <c r="I230" t="s">
        <v>681</v>
      </c>
    </row>
    <row r="231" spans="1:9" x14ac:dyDescent="0.25">
      <c r="A231" t="s">
        <v>35</v>
      </c>
      <c r="B231" t="s">
        <v>275</v>
      </c>
      <c r="C231">
        <v>471</v>
      </c>
      <c r="D231">
        <v>126</v>
      </c>
      <c r="E231" t="s">
        <v>11</v>
      </c>
      <c r="F231" t="s">
        <v>688</v>
      </c>
      <c r="G231" t="s">
        <v>689</v>
      </c>
      <c r="H231" t="s">
        <v>690</v>
      </c>
      <c r="I231" t="s">
        <v>681</v>
      </c>
    </row>
    <row r="232" spans="1:9" x14ac:dyDescent="0.25">
      <c r="A232" t="s">
        <v>35</v>
      </c>
      <c r="B232" t="s">
        <v>277</v>
      </c>
      <c r="C232">
        <v>595</v>
      </c>
      <c r="D232">
        <v>124</v>
      </c>
      <c r="E232" t="s">
        <v>11</v>
      </c>
      <c r="F232" t="s">
        <v>691</v>
      </c>
      <c r="G232" t="s">
        <v>692</v>
      </c>
      <c r="H232" t="s">
        <v>693</v>
      </c>
      <c r="I232" t="s">
        <v>681</v>
      </c>
    </row>
    <row r="233" spans="1:9" x14ac:dyDescent="0.25">
      <c r="A233" t="s">
        <v>35</v>
      </c>
      <c r="B233" t="s">
        <v>280</v>
      </c>
      <c r="C233">
        <v>723</v>
      </c>
      <c r="D233">
        <v>128</v>
      </c>
      <c r="E233" t="s">
        <v>11</v>
      </c>
      <c r="F233" t="s">
        <v>694</v>
      </c>
      <c r="G233" t="s">
        <v>695</v>
      </c>
      <c r="H233" t="s">
        <v>696</v>
      </c>
      <c r="I233" t="s">
        <v>681</v>
      </c>
    </row>
    <row r="234" spans="1:9" x14ac:dyDescent="0.25">
      <c r="A234" t="s">
        <v>35</v>
      </c>
      <c r="B234" t="s">
        <v>283</v>
      </c>
      <c r="C234">
        <v>847</v>
      </c>
      <c r="D234">
        <v>124</v>
      </c>
      <c r="E234" t="s">
        <v>11</v>
      </c>
      <c r="F234" t="s">
        <v>697</v>
      </c>
      <c r="G234" t="s">
        <v>698</v>
      </c>
      <c r="H234" t="s">
        <v>699</v>
      </c>
      <c r="I234" t="s">
        <v>681</v>
      </c>
    </row>
    <row r="235" spans="1:9" x14ac:dyDescent="0.25">
      <c r="A235" t="s">
        <v>35</v>
      </c>
      <c r="B235" t="s">
        <v>286</v>
      </c>
      <c r="C235">
        <v>970</v>
      </c>
      <c r="D235">
        <v>123</v>
      </c>
      <c r="E235" t="s">
        <v>11</v>
      </c>
      <c r="F235" t="s">
        <v>700</v>
      </c>
      <c r="G235" t="s">
        <v>701</v>
      </c>
      <c r="H235" t="s">
        <v>702</v>
      </c>
      <c r="I235" t="s">
        <v>681</v>
      </c>
    </row>
    <row r="236" spans="1:9" x14ac:dyDescent="0.25">
      <c r="A236" t="s">
        <v>35</v>
      </c>
      <c r="B236" t="s">
        <v>289</v>
      </c>
      <c r="C236">
        <v>1095</v>
      </c>
      <c r="D236">
        <v>125</v>
      </c>
      <c r="E236" t="s">
        <v>11</v>
      </c>
      <c r="F236" t="s">
        <v>703</v>
      </c>
      <c r="G236" t="s">
        <v>704</v>
      </c>
      <c r="H236" t="s">
        <v>705</v>
      </c>
      <c r="I236" t="s">
        <v>681</v>
      </c>
    </row>
    <row r="237" spans="1:9" x14ac:dyDescent="0.25">
      <c r="A237" t="s">
        <v>35</v>
      </c>
      <c r="B237" t="s">
        <v>292</v>
      </c>
      <c r="C237">
        <v>1219</v>
      </c>
      <c r="D237">
        <v>124</v>
      </c>
      <c r="E237" t="s">
        <v>11</v>
      </c>
      <c r="F237" t="s">
        <v>706</v>
      </c>
      <c r="G237" t="s">
        <v>707</v>
      </c>
      <c r="H237" t="s">
        <v>708</v>
      </c>
      <c r="I237" t="s">
        <v>681</v>
      </c>
    </row>
    <row r="238" spans="1:9" x14ac:dyDescent="0.25">
      <c r="A238" t="s">
        <v>35</v>
      </c>
      <c r="B238" t="s">
        <v>295</v>
      </c>
      <c r="C238">
        <v>1343</v>
      </c>
      <c r="D238">
        <v>124</v>
      </c>
      <c r="E238" t="s">
        <v>11</v>
      </c>
      <c r="F238" t="s">
        <v>709</v>
      </c>
      <c r="G238" t="s">
        <v>710</v>
      </c>
      <c r="H238" t="s">
        <v>711</v>
      </c>
      <c r="I238" t="s">
        <v>681</v>
      </c>
    </row>
    <row r="239" spans="1:9" x14ac:dyDescent="0.25">
      <c r="A239" t="s">
        <v>35</v>
      </c>
      <c r="B239" t="s">
        <v>298</v>
      </c>
      <c r="C239">
        <v>1471</v>
      </c>
      <c r="D239">
        <v>128</v>
      </c>
      <c r="E239" t="s">
        <v>11</v>
      </c>
      <c r="F239" t="s">
        <v>712</v>
      </c>
      <c r="G239" t="s">
        <v>713</v>
      </c>
      <c r="H239" t="s">
        <v>714</v>
      </c>
      <c r="I239" t="s">
        <v>681</v>
      </c>
    </row>
    <row r="240" spans="1:9" x14ac:dyDescent="0.25">
      <c r="A240" t="s">
        <v>35</v>
      </c>
      <c r="B240" t="s">
        <v>301</v>
      </c>
      <c r="C240">
        <v>1594</v>
      </c>
      <c r="D240">
        <v>123</v>
      </c>
      <c r="E240" t="s">
        <v>11</v>
      </c>
      <c r="F240" t="s">
        <v>715</v>
      </c>
      <c r="G240" t="s">
        <v>716</v>
      </c>
      <c r="H240" t="s">
        <v>717</v>
      </c>
      <c r="I240" t="s">
        <v>681</v>
      </c>
    </row>
    <row r="241" spans="1:9" x14ac:dyDescent="0.25">
      <c r="A241" t="s">
        <v>35</v>
      </c>
      <c r="B241" t="s">
        <v>304</v>
      </c>
      <c r="C241">
        <v>1723</v>
      </c>
      <c r="D241">
        <v>129</v>
      </c>
      <c r="E241" t="s">
        <v>11</v>
      </c>
      <c r="F241" t="s">
        <v>718</v>
      </c>
      <c r="G241" t="s">
        <v>719</v>
      </c>
      <c r="H241" t="s">
        <v>720</v>
      </c>
      <c r="I241" t="s">
        <v>681</v>
      </c>
    </row>
    <row r="242" spans="1:9" x14ac:dyDescent="0.25">
      <c r="A242" t="s">
        <v>35</v>
      </c>
      <c r="B242" t="s">
        <v>307</v>
      </c>
      <c r="C242">
        <v>1848</v>
      </c>
      <c r="D242">
        <v>125</v>
      </c>
      <c r="E242" t="s">
        <v>11</v>
      </c>
      <c r="F242" t="s">
        <v>721</v>
      </c>
      <c r="G242" t="s">
        <v>722</v>
      </c>
      <c r="H242" t="s">
        <v>723</v>
      </c>
      <c r="I242" t="s">
        <v>681</v>
      </c>
    </row>
    <row r="243" spans="1:9" x14ac:dyDescent="0.25">
      <c r="A243" t="s">
        <v>35</v>
      </c>
      <c r="B243" t="s">
        <v>310</v>
      </c>
      <c r="C243">
        <v>1976</v>
      </c>
      <c r="D243">
        <v>128</v>
      </c>
      <c r="E243" t="s">
        <v>11</v>
      </c>
      <c r="F243" t="s">
        <v>724</v>
      </c>
      <c r="G243" t="s">
        <v>725</v>
      </c>
      <c r="H243" t="s">
        <v>726</v>
      </c>
      <c r="I243" t="s">
        <v>681</v>
      </c>
    </row>
    <row r="244" spans="1:9" x14ac:dyDescent="0.25">
      <c r="A244" t="s">
        <v>35</v>
      </c>
      <c r="B244" t="s">
        <v>313</v>
      </c>
      <c r="C244">
        <v>2100</v>
      </c>
      <c r="D244">
        <v>124</v>
      </c>
      <c r="E244" t="s">
        <v>11</v>
      </c>
      <c r="F244" t="s">
        <v>727</v>
      </c>
      <c r="G244" t="s">
        <v>728</v>
      </c>
      <c r="H244" t="s">
        <v>729</v>
      </c>
      <c r="I244" t="s">
        <v>681</v>
      </c>
    </row>
    <row r="245" spans="1:9" x14ac:dyDescent="0.25">
      <c r="A245" t="s">
        <v>35</v>
      </c>
      <c r="B245" t="s">
        <v>315</v>
      </c>
      <c r="C245">
        <v>2227</v>
      </c>
      <c r="D245">
        <v>127</v>
      </c>
      <c r="E245" t="s">
        <v>11</v>
      </c>
      <c r="F245" t="s">
        <v>730</v>
      </c>
      <c r="G245" t="s">
        <v>731</v>
      </c>
      <c r="H245" t="s">
        <v>732</v>
      </c>
      <c r="I245" t="s">
        <v>681</v>
      </c>
    </row>
    <row r="246" spans="1:9" x14ac:dyDescent="0.25">
      <c r="A246" t="s">
        <v>35</v>
      </c>
      <c r="B246" t="s">
        <v>733</v>
      </c>
      <c r="C246">
        <v>2351</v>
      </c>
      <c r="D246">
        <v>124</v>
      </c>
      <c r="E246" t="s">
        <v>11</v>
      </c>
      <c r="F246" t="s">
        <v>734</v>
      </c>
      <c r="G246" t="s">
        <v>731</v>
      </c>
      <c r="H246" t="s">
        <v>735</v>
      </c>
      <c r="I246" t="s">
        <v>681</v>
      </c>
    </row>
    <row r="247" spans="1:9" x14ac:dyDescent="0.25">
      <c r="A247" t="s">
        <v>9</v>
      </c>
      <c r="B247" t="s">
        <v>268</v>
      </c>
      <c r="C247">
        <v>93</v>
      </c>
      <c r="D247">
        <v>123</v>
      </c>
      <c r="E247" t="s">
        <v>11</v>
      </c>
      <c r="F247" t="s">
        <v>736</v>
      </c>
      <c r="G247" t="s">
        <v>13</v>
      </c>
      <c r="H247" t="s">
        <v>737</v>
      </c>
      <c r="I247" t="s">
        <v>738</v>
      </c>
    </row>
    <row r="248" spans="1:9" x14ac:dyDescent="0.25">
      <c r="A248" t="s">
        <v>9</v>
      </c>
      <c r="B248" t="s">
        <v>271</v>
      </c>
      <c r="C248">
        <v>222</v>
      </c>
      <c r="D248">
        <v>129</v>
      </c>
      <c r="E248" t="s">
        <v>11</v>
      </c>
      <c r="F248" t="s">
        <v>739</v>
      </c>
      <c r="G248" t="s">
        <v>13</v>
      </c>
      <c r="H248" t="s">
        <v>740</v>
      </c>
      <c r="I248" t="s">
        <v>738</v>
      </c>
    </row>
    <row r="249" spans="1:9" x14ac:dyDescent="0.25">
      <c r="A249" t="s">
        <v>9</v>
      </c>
      <c r="B249" t="s">
        <v>273</v>
      </c>
      <c r="C249">
        <v>345</v>
      </c>
      <c r="D249">
        <v>123</v>
      </c>
      <c r="E249" t="s">
        <v>11</v>
      </c>
      <c r="F249" t="s">
        <v>736</v>
      </c>
      <c r="G249" t="s">
        <v>13</v>
      </c>
      <c r="H249" t="s">
        <v>741</v>
      </c>
      <c r="I249" t="s">
        <v>738</v>
      </c>
    </row>
    <row r="250" spans="1:9" x14ac:dyDescent="0.25">
      <c r="A250" t="s">
        <v>9</v>
      </c>
      <c r="B250" t="s">
        <v>275</v>
      </c>
      <c r="C250">
        <v>471</v>
      </c>
      <c r="D250">
        <v>126</v>
      </c>
      <c r="E250" t="s">
        <v>11</v>
      </c>
      <c r="F250" t="s">
        <v>742</v>
      </c>
      <c r="G250" t="s">
        <v>13</v>
      </c>
      <c r="H250" t="s">
        <v>743</v>
      </c>
      <c r="I250" t="s">
        <v>738</v>
      </c>
    </row>
    <row r="251" spans="1:9" x14ac:dyDescent="0.25">
      <c r="A251" t="s">
        <v>9</v>
      </c>
      <c r="B251" t="s">
        <v>277</v>
      </c>
      <c r="C251">
        <v>595</v>
      </c>
      <c r="D251">
        <v>124</v>
      </c>
      <c r="E251" t="s">
        <v>11</v>
      </c>
      <c r="F251" t="s">
        <v>744</v>
      </c>
      <c r="G251" t="s">
        <v>13</v>
      </c>
      <c r="H251" t="s">
        <v>745</v>
      </c>
      <c r="I251" t="s">
        <v>738</v>
      </c>
    </row>
    <row r="252" spans="1:9" x14ac:dyDescent="0.25">
      <c r="A252" t="s">
        <v>9</v>
      </c>
      <c r="B252" t="s">
        <v>280</v>
      </c>
      <c r="C252">
        <v>723</v>
      </c>
      <c r="D252">
        <v>128</v>
      </c>
      <c r="E252" t="s">
        <v>11</v>
      </c>
      <c r="F252" t="s">
        <v>746</v>
      </c>
      <c r="G252" t="s">
        <v>13</v>
      </c>
      <c r="H252" t="s">
        <v>747</v>
      </c>
      <c r="I252" t="s">
        <v>738</v>
      </c>
    </row>
    <row r="253" spans="1:9" x14ac:dyDescent="0.25">
      <c r="A253" t="s">
        <v>9</v>
      </c>
      <c r="B253" t="s">
        <v>283</v>
      </c>
      <c r="C253">
        <v>847</v>
      </c>
      <c r="D253">
        <v>124</v>
      </c>
      <c r="E253" t="s">
        <v>11</v>
      </c>
      <c r="F253" t="s">
        <v>744</v>
      </c>
      <c r="G253" t="s">
        <v>13</v>
      </c>
      <c r="H253" t="s">
        <v>748</v>
      </c>
      <c r="I253" t="s">
        <v>738</v>
      </c>
    </row>
    <row r="254" spans="1:9" x14ac:dyDescent="0.25">
      <c r="A254" t="s">
        <v>9</v>
      </c>
      <c r="B254" t="s">
        <v>286</v>
      </c>
      <c r="C254">
        <v>970</v>
      </c>
      <c r="D254">
        <v>123</v>
      </c>
      <c r="E254" t="s">
        <v>11</v>
      </c>
      <c r="F254" t="s">
        <v>736</v>
      </c>
      <c r="G254" t="s">
        <v>13</v>
      </c>
      <c r="H254" t="s">
        <v>749</v>
      </c>
      <c r="I254" t="s">
        <v>738</v>
      </c>
    </row>
    <row r="255" spans="1:9" x14ac:dyDescent="0.25">
      <c r="A255" t="s">
        <v>9</v>
      </c>
      <c r="B255" t="s">
        <v>289</v>
      </c>
      <c r="C255">
        <v>1095</v>
      </c>
      <c r="D255">
        <v>125</v>
      </c>
      <c r="E255" t="s">
        <v>11</v>
      </c>
      <c r="F255" t="s">
        <v>750</v>
      </c>
      <c r="G255" t="s">
        <v>13</v>
      </c>
      <c r="H255" t="s">
        <v>751</v>
      </c>
      <c r="I255" t="s">
        <v>738</v>
      </c>
    </row>
    <row r="256" spans="1:9" x14ac:dyDescent="0.25">
      <c r="A256" t="s">
        <v>9</v>
      </c>
      <c r="B256" t="s">
        <v>292</v>
      </c>
      <c r="C256">
        <v>1219</v>
      </c>
      <c r="D256">
        <v>124</v>
      </c>
      <c r="E256" t="s">
        <v>11</v>
      </c>
      <c r="F256" t="s">
        <v>744</v>
      </c>
      <c r="G256" t="s">
        <v>13</v>
      </c>
      <c r="H256" t="s">
        <v>752</v>
      </c>
      <c r="I256" t="s">
        <v>738</v>
      </c>
    </row>
    <row r="257" spans="1:9" x14ac:dyDescent="0.25">
      <c r="A257" t="s">
        <v>35</v>
      </c>
      <c r="B257" t="s">
        <v>295</v>
      </c>
      <c r="C257">
        <v>1343</v>
      </c>
      <c r="D257">
        <v>124</v>
      </c>
      <c r="E257" t="s">
        <v>11</v>
      </c>
      <c r="F257" t="s">
        <v>744</v>
      </c>
      <c r="G257" t="s">
        <v>753</v>
      </c>
      <c r="H257" t="s">
        <v>754</v>
      </c>
      <c r="I257" t="s">
        <v>738</v>
      </c>
    </row>
    <row r="258" spans="1:9" x14ac:dyDescent="0.25">
      <c r="A258" t="s">
        <v>9</v>
      </c>
      <c r="B258" t="s">
        <v>298</v>
      </c>
      <c r="C258">
        <v>1471</v>
      </c>
      <c r="D258">
        <v>128</v>
      </c>
      <c r="E258" t="s">
        <v>11</v>
      </c>
      <c r="F258" t="s">
        <v>755</v>
      </c>
      <c r="G258" t="s">
        <v>13</v>
      </c>
      <c r="H258" t="s">
        <v>756</v>
      </c>
      <c r="I258" t="s">
        <v>738</v>
      </c>
    </row>
    <row r="259" spans="1:9" x14ac:dyDescent="0.25">
      <c r="A259" t="s">
        <v>35</v>
      </c>
      <c r="B259" t="s">
        <v>301</v>
      </c>
      <c r="C259">
        <v>1594</v>
      </c>
      <c r="D259">
        <v>123</v>
      </c>
      <c r="E259" t="s">
        <v>11</v>
      </c>
      <c r="F259" t="s">
        <v>757</v>
      </c>
      <c r="G259" t="s">
        <v>753</v>
      </c>
      <c r="H259" t="s">
        <v>758</v>
      </c>
      <c r="I259" t="s">
        <v>738</v>
      </c>
    </row>
    <row r="260" spans="1:9" x14ac:dyDescent="0.25">
      <c r="A260" t="s">
        <v>35</v>
      </c>
      <c r="B260" t="s">
        <v>134</v>
      </c>
      <c r="C260">
        <v>32</v>
      </c>
      <c r="D260">
        <v>124</v>
      </c>
      <c r="E260" t="s">
        <v>11</v>
      </c>
      <c r="F260" t="s">
        <v>759</v>
      </c>
      <c r="G260" t="s">
        <v>760</v>
      </c>
      <c r="H260" t="s">
        <v>761</v>
      </c>
      <c r="I260" t="s">
        <v>762</v>
      </c>
    </row>
    <row r="261" spans="1:9" x14ac:dyDescent="0.25">
      <c r="A261" t="s">
        <v>35</v>
      </c>
      <c r="B261" t="s">
        <v>138</v>
      </c>
      <c r="C261">
        <v>159</v>
      </c>
      <c r="D261">
        <v>127</v>
      </c>
      <c r="E261" t="s">
        <v>11</v>
      </c>
      <c r="F261" t="s">
        <v>763</v>
      </c>
      <c r="G261" t="s">
        <v>764</v>
      </c>
      <c r="H261" t="s">
        <v>765</v>
      </c>
      <c r="I261" t="s">
        <v>762</v>
      </c>
    </row>
    <row r="262" spans="1:9" x14ac:dyDescent="0.25">
      <c r="A262" t="s">
        <v>35</v>
      </c>
      <c r="B262" t="s">
        <v>141</v>
      </c>
      <c r="C262">
        <v>283</v>
      </c>
      <c r="D262">
        <v>124</v>
      </c>
      <c r="E262" t="s">
        <v>11</v>
      </c>
      <c r="F262" t="s">
        <v>766</v>
      </c>
      <c r="G262" t="s">
        <v>767</v>
      </c>
      <c r="H262" t="s">
        <v>768</v>
      </c>
      <c r="I262" t="s">
        <v>762</v>
      </c>
    </row>
    <row r="263" spans="1:9" x14ac:dyDescent="0.25">
      <c r="A263" t="s">
        <v>35</v>
      </c>
      <c r="B263" t="s">
        <v>144</v>
      </c>
      <c r="C263">
        <v>409</v>
      </c>
      <c r="D263">
        <v>126</v>
      </c>
      <c r="E263" t="s">
        <v>11</v>
      </c>
      <c r="F263" t="s">
        <v>769</v>
      </c>
      <c r="G263" t="s">
        <v>770</v>
      </c>
      <c r="H263" t="s">
        <v>771</v>
      </c>
      <c r="I263" t="s">
        <v>762</v>
      </c>
    </row>
    <row r="264" spans="1:9" x14ac:dyDescent="0.25">
      <c r="A264" t="s">
        <v>35</v>
      </c>
      <c r="B264" t="s">
        <v>147</v>
      </c>
      <c r="C264">
        <v>532</v>
      </c>
      <c r="D264">
        <v>123</v>
      </c>
      <c r="E264" t="s">
        <v>11</v>
      </c>
      <c r="F264" t="s">
        <v>772</v>
      </c>
      <c r="G264" t="s">
        <v>773</v>
      </c>
      <c r="H264" t="s">
        <v>774</v>
      </c>
      <c r="I264" t="s">
        <v>762</v>
      </c>
    </row>
    <row r="265" spans="1:9" x14ac:dyDescent="0.25">
      <c r="A265" t="s">
        <v>35</v>
      </c>
      <c r="B265" t="s">
        <v>150</v>
      </c>
      <c r="C265">
        <v>659</v>
      </c>
      <c r="D265">
        <v>127</v>
      </c>
      <c r="E265" t="s">
        <v>11</v>
      </c>
      <c r="F265" t="s">
        <v>775</v>
      </c>
      <c r="G265" t="s">
        <v>776</v>
      </c>
      <c r="H265" t="s">
        <v>777</v>
      </c>
      <c r="I265" t="s">
        <v>762</v>
      </c>
    </row>
    <row r="266" spans="1:9" x14ac:dyDescent="0.25">
      <c r="A266" t="s">
        <v>35</v>
      </c>
      <c r="B266" t="s">
        <v>152</v>
      </c>
      <c r="C266">
        <v>785</v>
      </c>
      <c r="D266">
        <v>126</v>
      </c>
      <c r="E266" t="s">
        <v>11</v>
      </c>
      <c r="F266" t="s">
        <v>778</v>
      </c>
      <c r="G266" t="s">
        <v>779</v>
      </c>
      <c r="H266" t="s">
        <v>780</v>
      </c>
      <c r="I266" t="s">
        <v>762</v>
      </c>
    </row>
    <row r="267" spans="1:9" x14ac:dyDescent="0.25">
      <c r="A267" t="s">
        <v>35</v>
      </c>
      <c r="B267" t="s">
        <v>154</v>
      </c>
      <c r="C267">
        <v>910</v>
      </c>
      <c r="D267">
        <v>125</v>
      </c>
      <c r="E267" t="s">
        <v>11</v>
      </c>
      <c r="F267" t="s">
        <v>781</v>
      </c>
      <c r="G267" t="s">
        <v>782</v>
      </c>
      <c r="H267" t="s">
        <v>783</v>
      </c>
      <c r="I267" t="s">
        <v>762</v>
      </c>
    </row>
    <row r="268" spans="1:9" x14ac:dyDescent="0.25">
      <c r="A268" t="s">
        <v>35</v>
      </c>
      <c r="B268" t="s">
        <v>157</v>
      </c>
      <c r="C268">
        <v>1032</v>
      </c>
      <c r="D268">
        <v>122</v>
      </c>
      <c r="E268" t="s">
        <v>11</v>
      </c>
      <c r="F268" t="s">
        <v>784</v>
      </c>
      <c r="G268" t="s">
        <v>785</v>
      </c>
      <c r="H268" t="s">
        <v>786</v>
      </c>
      <c r="I268" t="s">
        <v>762</v>
      </c>
    </row>
    <row r="269" spans="1:9" x14ac:dyDescent="0.25">
      <c r="A269" t="s">
        <v>35</v>
      </c>
      <c r="B269" t="s">
        <v>160</v>
      </c>
      <c r="C269">
        <v>1158</v>
      </c>
      <c r="D269">
        <v>126</v>
      </c>
      <c r="E269" t="s">
        <v>11</v>
      </c>
      <c r="F269" t="s">
        <v>787</v>
      </c>
      <c r="G269" t="s">
        <v>788</v>
      </c>
      <c r="H269" t="s">
        <v>789</v>
      </c>
      <c r="I269" t="s">
        <v>762</v>
      </c>
    </row>
    <row r="270" spans="1:9" x14ac:dyDescent="0.25">
      <c r="A270" t="s">
        <v>35</v>
      </c>
      <c r="B270" t="s">
        <v>162</v>
      </c>
      <c r="C270">
        <v>1281</v>
      </c>
      <c r="D270">
        <v>123</v>
      </c>
      <c r="E270" t="s">
        <v>11</v>
      </c>
      <c r="F270" t="s">
        <v>790</v>
      </c>
      <c r="G270" t="s">
        <v>791</v>
      </c>
      <c r="H270" t="s">
        <v>792</v>
      </c>
      <c r="I270" t="s">
        <v>762</v>
      </c>
    </row>
    <row r="271" spans="1:9" x14ac:dyDescent="0.25">
      <c r="A271" t="s">
        <v>35</v>
      </c>
      <c r="B271" t="s">
        <v>164</v>
      </c>
      <c r="C271">
        <v>1409</v>
      </c>
      <c r="D271">
        <v>128</v>
      </c>
      <c r="E271" t="s">
        <v>11</v>
      </c>
      <c r="F271" t="s">
        <v>793</v>
      </c>
      <c r="G271" t="s">
        <v>794</v>
      </c>
      <c r="H271" t="s">
        <v>795</v>
      </c>
      <c r="I271" t="s">
        <v>762</v>
      </c>
    </row>
    <row r="272" spans="1:9" x14ac:dyDescent="0.25">
      <c r="A272" t="s">
        <v>35</v>
      </c>
      <c r="B272" t="s">
        <v>167</v>
      </c>
      <c r="C272">
        <v>1532</v>
      </c>
      <c r="D272">
        <v>123</v>
      </c>
      <c r="E272" t="s">
        <v>11</v>
      </c>
      <c r="F272" t="s">
        <v>796</v>
      </c>
      <c r="G272" t="s">
        <v>797</v>
      </c>
      <c r="H272" t="s">
        <v>798</v>
      </c>
      <c r="I272" t="s">
        <v>762</v>
      </c>
    </row>
    <row r="273" spans="1:9" x14ac:dyDescent="0.25">
      <c r="A273" t="s">
        <v>35</v>
      </c>
      <c r="B273" t="s">
        <v>169</v>
      </c>
      <c r="C273">
        <v>1660</v>
      </c>
      <c r="D273">
        <v>128</v>
      </c>
      <c r="E273" t="s">
        <v>11</v>
      </c>
      <c r="F273" t="s">
        <v>799</v>
      </c>
      <c r="G273" t="s">
        <v>800</v>
      </c>
      <c r="H273" t="s">
        <v>801</v>
      </c>
      <c r="I273" t="s">
        <v>762</v>
      </c>
    </row>
    <row r="274" spans="1:9" x14ac:dyDescent="0.25">
      <c r="A274" t="s">
        <v>35</v>
      </c>
      <c r="B274" t="s">
        <v>171</v>
      </c>
      <c r="C274">
        <v>1785</v>
      </c>
      <c r="D274">
        <v>125</v>
      </c>
      <c r="E274" t="s">
        <v>11</v>
      </c>
      <c r="F274" t="s">
        <v>802</v>
      </c>
      <c r="G274" t="s">
        <v>803</v>
      </c>
      <c r="H274" t="s">
        <v>804</v>
      </c>
      <c r="I274" t="s">
        <v>762</v>
      </c>
    </row>
    <row r="275" spans="1:9" x14ac:dyDescent="0.25">
      <c r="A275" t="s">
        <v>35</v>
      </c>
      <c r="B275" t="s">
        <v>173</v>
      </c>
      <c r="C275">
        <v>1912</v>
      </c>
      <c r="D275">
        <v>127</v>
      </c>
      <c r="E275" t="s">
        <v>11</v>
      </c>
      <c r="F275" t="s">
        <v>805</v>
      </c>
      <c r="G275" t="s">
        <v>806</v>
      </c>
      <c r="H275" t="s">
        <v>807</v>
      </c>
      <c r="I275" t="s">
        <v>762</v>
      </c>
    </row>
    <row r="276" spans="1:9" x14ac:dyDescent="0.25">
      <c r="A276" t="s">
        <v>35</v>
      </c>
      <c r="B276" t="s">
        <v>175</v>
      </c>
      <c r="C276">
        <v>2038</v>
      </c>
      <c r="D276">
        <v>126</v>
      </c>
      <c r="E276" t="s">
        <v>11</v>
      </c>
      <c r="F276" t="s">
        <v>808</v>
      </c>
      <c r="G276" t="s">
        <v>809</v>
      </c>
      <c r="H276" t="s">
        <v>810</v>
      </c>
      <c r="I276" t="s">
        <v>762</v>
      </c>
    </row>
    <row r="277" spans="1:9" x14ac:dyDescent="0.25">
      <c r="A277" t="s">
        <v>35</v>
      </c>
      <c r="B277" t="s">
        <v>177</v>
      </c>
      <c r="C277">
        <v>2164</v>
      </c>
      <c r="D277">
        <v>126</v>
      </c>
      <c r="E277" t="s">
        <v>11</v>
      </c>
      <c r="F277" t="s">
        <v>811</v>
      </c>
      <c r="G277" t="s">
        <v>812</v>
      </c>
      <c r="H277" t="s">
        <v>813</v>
      </c>
      <c r="I277" t="s">
        <v>762</v>
      </c>
    </row>
    <row r="278" spans="1:9" x14ac:dyDescent="0.25">
      <c r="A278" t="s">
        <v>35</v>
      </c>
      <c r="B278" t="s">
        <v>179</v>
      </c>
      <c r="C278">
        <v>2289</v>
      </c>
      <c r="D278">
        <v>125</v>
      </c>
      <c r="E278" t="s">
        <v>11</v>
      </c>
      <c r="F278" t="s">
        <v>814</v>
      </c>
      <c r="G278" t="s">
        <v>815</v>
      </c>
      <c r="H278" t="s">
        <v>816</v>
      </c>
      <c r="I278" t="s">
        <v>762</v>
      </c>
    </row>
    <row r="279" spans="1:9" x14ac:dyDescent="0.25">
      <c r="A279" t="s">
        <v>35</v>
      </c>
      <c r="B279" t="s">
        <v>181</v>
      </c>
      <c r="C279">
        <v>2414</v>
      </c>
      <c r="D279">
        <v>125</v>
      </c>
      <c r="E279" t="s">
        <v>11</v>
      </c>
      <c r="F279" t="s">
        <v>817</v>
      </c>
      <c r="G279" t="s">
        <v>818</v>
      </c>
      <c r="H279" t="s">
        <v>819</v>
      </c>
      <c r="I279" t="s">
        <v>762</v>
      </c>
    </row>
    <row r="280" spans="1:9" x14ac:dyDescent="0.25">
      <c r="A280" t="s">
        <v>35</v>
      </c>
      <c r="B280" t="s">
        <v>183</v>
      </c>
      <c r="C280">
        <v>2536</v>
      </c>
      <c r="D280">
        <v>122</v>
      </c>
      <c r="E280" t="s">
        <v>11</v>
      </c>
      <c r="F280" t="s">
        <v>820</v>
      </c>
      <c r="G280" t="s">
        <v>821</v>
      </c>
      <c r="H280" t="s">
        <v>822</v>
      </c>
      <c r="I280" t="s">
        <v>762</v>
      </c>
    </row>
    <row r="281" spans="1:9" x14ac:dyDescent="0.25">
      <c r="A281" t="s">
        <v>35</v>
      </c>
      <c r="B281" t="s">
        <v>185</v>
      </c>
      <c r="C281">
        <v>2662</v>
      </c>
      <c r="D281">
        <v>126</v>
      </c>
      <c r="E281" t="s">
        <v>11</v>
      </c>
      <c r="F281" t="s">
        <v>823</v>
      </c>
      <c r="G281" t="s">
        <v>824</v>
      </c>
      <c r="H281" t="s">
        <v>825</v>
      </c>
      <c r="I281" t="s">
        <v>762</v>
      </c>
    </row>
    <row r="282" spans="1:9" x14ac:dyDescent="0.25">
      <c r="A282" t="s">
        <v>35</v>
      </c>
      <c r="B282" t="s">
        <v>187</v>
      </c>
      <c r="C282">
        <v>2785</v>
      </c>
      <c r="D282">
        <v>123</v>
      </c>
      <c r="E282" t="s">
        <v>11</v>
      </c>
      <c r="F282" t="s">
        <v>826</v>
      </c>
      <c r="G282" t="s">
        <v>827</v>
      </c>
      <c r="H282" t="s">
        <v>828</v>
      </c>
      <c r="I282" t="s">
        <v>762</v>
      </c>
    </row>
    <row r="283" spans="1:9" x14ac:dyDescent="0.25">
      <c r="A283" t="s">
        <v>35</v>
      </c>
      <c r="B283" t="s">
        <v>189</v>
      </c>
      <c r="C283">
        <v>2913</v>
      </c>
      <c r="D283">
        <v>128</v>
      </c>
      <c r="E283" t="s">
        <v>11</v>
      </c>
      <c r="F283" t="s">
        <v>829</v>
      </c>
      <c r="G283" t="s">
        <v>830</v>
      </c>
      <c r="H283" t="s">
        <v>831</v>
      </c>
      <c r="I283" t="s">
        <v>762</v>
      </c>
    </row>
    <row r="284" spans="1:9" x14ac:dyDescent="0.25">
      <c r="A284" t="s">
        <v>35</v>
      </c>
      <c r="B284" t="s">
        <v>191</v>
      </c>
      <c r="C284">
        <v>3037</v>
      </c>
      <c r="D284">
        <v>124</v>
      </c>
      <c r="E284" t="s">
        <v>11</v>
      </c>
      <c r="F284" t="s">
        <v>832</v>
      </c>
      <c r="G284" t="s">
        <v>833</v>
      </c>
      <c r="H284" t="s">
        <v>834</v>
      </c>
      <c r="I284" t="s">
        <v>762</v>
      </c>
    </row>
    <row r="285" spans="1:9" x14ac:dyDescent="0.25">
      <c r="A285" t="s">
        <v>35</v>
      </c>
      <c r="B285" t="s">
        <v>193</v>
      </c>
      <c r="C285">
        <v>3163</v>
      </c>
      <c r="D285">
        <v>126</v>
      </c>
      <c r="E285" t="s">
        <v>11</v>
      </c>
      <c r="F285" t="s">
        <v>835</v>
      </c>
      <c r="G285" t="s">
        <v>836</v>
      </c>
      <c r="H285" t="s">
        <v>837</v>
      </c>
      <c r="I285" t="s">
        <v>762</v>
      </c>
    </row>
    <row r="286" spans="1:9" x14ac:dyDescent="0.25">
      <c r="A286" t="s">
        <v>35</v>
      </c>
      <c r="B286" t="s">
        <v>195</v>
      </c>
      <c r="C286">
        <v>3287</v>
      </c>
      <c r="D286">
        <v>124</v>
      </c>
      <c r="E286" t="s">
        <v>11</v>
      </c>
      <c r="F286" t="s">
        <v>838</v>
      </c>
      <c r="G286" t="s">
        <v>839</v>
      </c>
      <c r="H286" t="s">
        <v>840</v>
      </c>
      <c r="I286" t="s">
        <v>762</v>
      </c>
    </row>
    <row r="287" spans="1:9" x14ac:dyDescent="0.25">
      <c r="A287" t="s">
        <v>35</v>
      </c>
      <c r="B287" t="s">
        <v>197</v>
      </c>
      <c r="C287">
        <v>3413</v>
      </c>
      <c r="D287">
        <v>126</v>
      </c>
      <c r="E287" t="s">
        <v>11</v>
      </c>
      <c r="F287" t="s">
        <v>841</v>
      </c>
      <c r="G287" t="s">
        <v>842</v>
      </c>
      <c r="H287" t="s">
        <v>843</v>
      </c>
      <c r="I287" t="s">
        <v>762</v>
      </c>
    </row>
    <row r="288" spans="1:9" x14ac:dyDescent="0.25">
      <c r="A288" t="s">
        <v>35</v>
      </c>
      <c r="B288" t="s">
        <v>199</v>
      </c>
      <c r="C288">
        <v>3538</v>
      </c>
      <c r="D288">
        <v>125</v>
      </c>
      <c r="E288" t="s">
        <v>11</v>
      </c>
      <c r="F288" t="s">
        <v>844</v>
      </c>
      <c r="G288" t="s">
        <v>845</v>
      </c>
      <c r="H288" t="s">
        <v>846</v>
      </c>
      <c r="I288" t="s">
        <v>762</v>
      </c>
    </row>
    <row r="289" spans="1:9" x14ac:dyDescent="0.25">
      <c r="A289" t="s">
        <v>9</v>
      </c>
      <c r="B289" t="s">
        <v>498</v>
      </c>
      <c r="C289">
        <v>51</v>
      </c>
      <c r="D289">
        <v>120</v>
      </c>
      <c r="E289" t="s">
        <v>11</v>
      </c>
      <c r="F289" t="s">
        <v>847</v>
      </c>
      <c r="G289" t="s">
        <v>13</v>
      </c>
      <c r="H289" t="s">
        <v>848</v>
      </c>
      <c r="I289" t="s">
        <v>849</v>
      </c>
    </row>
    <row r="290" spans="1:9" x14ac:dyDescent="0.25">
      <c r="A290" t="s">
        <v>9</v>
      </c>
      <c r="B290" t="s">
        <v>503</v>
      </c>
      <c r="C290">
        <v>182</v>
      </c>
      <c r="D290">
        <v>131</v>
      </c>
      <c r="E290" t="s">
        <v>11</v>
      </c>
      <c r="F290" t="s">
        <v>850</v>
      </c>
      <c r="G290" t="s">
        <v>13</v>
      </c>
      <c r="H290" t="s">
        <v>851</v>
      </c>
      <c r="I290" t="s">
        <v>849</v>
      </c>
    </row>
    <row r="291" spans="1:9" x14ac:dyDescent="0.25">
      <c r="A291" t="s">
        <v>9</v>
      </c>
      <c r="B291" t="s">
        <v>507</v>
      </c>
      <c r="C291">
        <v>303</v>
      </c>
      <c r="D291">
        <v>121</v>
      </c>
      <c r="E291" t="s">
        <v>11</v>
      </c>
      <c r="F291" t="s">
        <v>852</v>
      </c>
      <c r="G291" t="s">
        <v>13</v>
      </c>
      <c r="H291" t="s">
        <v>853</v>
      </c>
      <c r="I291" t="s">
        <v>849</v>
      </c>
    </row>
    <row r="292" spans="1:9" x14ac:dyDescent="0.25">
      <c r="A292" t="s">
        <v>9</v>
      </c>
      <c r="B292" t="s">
        <v>511</v>
      </c>
      <c r="C292">
        <v>430</v>
      </c>
      <c r="D292">
        <v>127</v>
      </c>
      <c r="E292" t="s">
        <v>11</v>
      </c>
      <c r="F292" t="s">
        <v>854</v>
      </c>
      <c r="G292" t="s">
        <v>13</v>
      </c>
      <c r="H292" t="s">
        <v>855</v>
      </c>
      <c r="I292" t="s">
        <v>849</v>
      </c>
    </row>
    <row r="293" spans="1:9" x14ac:dyDescent="0.25">
      <c r="A293" t="s">
        <v>35</v>
      </c>
      <c r="B293" t="s">
        <v>515</v>
      </c>
      <c r="C293">
        <v>553</v>
      </c>
      <c r="D293">
        <v>123</v>
      </c>
      <c r="E293" t="s">
        <v>11</v>
      </c>
      <c r="F293" t="s">
        <v>856</v>
      </c>
      <c r="G293" t="s">
        <v>857</v>
      </c>
      <c r="H293" t="s">
        <v>858</v>
      </c>
      <c r="I293" t="s">
        <v>849</v>
      </c>
    </row>
    <row r="294" spans="1:9" x14ac:dyDescent="0.25">
      <c r="A294" t="s">
        <v>9</v>
      </c>
      <c r="B294" t="s">
        <v>519</v>
      </c>
      <c r="C294">
        <v>679</v>
      </c>
      <c r="D294">
        <v>126</v>
      </c>
      <c r="E294" t="s">
        <v>11</v>
      </c>
      <c r="F294" t="s">
        <v>859</v>
      </c>
      <c r="G294" t="s">
        <v>13</v>
      </c>
      <c r="H294" t="s">
        <v>860</v>
      </c>
      <c r="I294" t="s">
        <v>849</v>
      </c>
    </row>
    <row r="295" spans="1:9" x14ac:dyDescent="0.25">
      <c r="A295" t="s">
        <v>35</v>
      </c>
      <c r="B295" t="s">
        <v>523</v>
      </c>
      <c r="C295">
        <v>803</v>
      </c>
      <c r="D295">
        <v>124</v>
      </c>
      <c r="E295" t="s">
        <v>11</v>
      </c>
      <c r="F295" t="s">
        <v>861</v>
      </c>
      <c r="G295" t="s">
        <v>862</v>
      </c>
      <c r="H295" t="s">
        <v>863</v>
      </c>
      <c r="I295" t="s">
        <v>849</v>
      </c>
    </row>
    <row r="296" spans="1:9" x14ac:dyDescent="0.25">
      <c r="A296" t="s">
        <v>9</v>
      </c>
      <c r="B296" t="s">
        <v>527</v>
      </c>
      <c r="C296">
        <v>931</v>
      </c>
      <c r="D296">
        <v>128</v>
      </c>
      <c r="E296" t="s">
        <v>11</v>
      </c>
      <c r="F296" t="s">
        <v>864</v>
      </c>
      <c r="G296" t="s">
        <v>13</v>
      </c>
      <c r="H296" t="s">
        <v>865</v>
      </c>
      <c r="I296" t="s">
        <v>849</v>
      </c>
    </row>
    <row r="297" spans="1:9" x14ac:dyDescent="0.25">
      <c r="A297" t="s">
        <v>35</v>
      </c>
      <c r="B297" t="s">
        <v>531</v>
      </c>
      <c r="C297">
        <v>1052</v>
      </c>
      <c r="D297">
        <v>121</v>
      </c>
      <c r="E297" t="s">
        <v>11</v>
      </c>
      <c r="F297" t="s">
        <v>866</v>
      </c>
      <c r="G297" t="s">
        <v>862</v>
      </c>
      <c r="H297" t="s">
        <v>867</v>
      </c>
      <c r="I297" t="s">
        <v>849</v>
      </c>
    </row>
    <row r="298" spans="1:9" x14ac:dyDescent="0.25">
      <c r="A298" t="s">
        <v>9</v>
      </c>
      <c r="B298" t="s">
        <v>134</v>
      </c>
      <c r="C298">
        <v>32</v>
      </c>
      <c r="D298">
        <v>124</v>
      </c>
      <c r="E298" t="s">
        <v>11</v>
      </c>
      <c r="F298" t="s">
        <v>868</v>
      </c>
      <c r="G298" t="s">
        <v>13</v>
      </c>
      <c r="H298" t="s">
        <v>869</v>
      </c>
      <c r="I298" t="s">
        <v>870</v>
      </c>
    </row>
    <row r="299" spans="1:9" x14ac:dyDescent="0.25">
      <c r="A299" t="s">
        <v>9</v>
      </c>
      <c r="B299" t="s">
        <v>138</v>
      </c>
      <c r="C299">
        <v>159</v>
      </c>
      <c r="D299">
        <v>127</v>
      </c>
      <c r="E299" t="s">
        <v>11</v>
      </c>
      <c r="F299" t="s">
        <v>871</v>
      </c>
      <c r="G299" t="s">
        <v>13</v>
      </c>
      <c r="H299" t="s">
        <v>872</v>
      </c>
      <c r="I299" t="s">
        <v>870</v>
      </c>
    </row>
    <row r="300" spans="1:9" x14ac:dyDescent="0.25">
      <c r="A300" t="s">
        <v>9</v>
      </c>
      <c r="B300" t="s">
        <v>141</v>
      </c>
      <c r="C300">
        <v>283</v>
      </c>
      <c r="D300">
        <v>124</v>
      </c>
      <c r="E300" t="s">
        <v>11</v>
      </c>
      <c r="F300" t="s">
        <v>868</v>
      </c>
      <c r="G300" t="s">
        <v>13</v>
      </c>
      <c r="H300" t="s">
        <v>873</v>
      </c>
      <c r="I300" t="s">
        <v>870</v>
      </c>
    </row>
    <row r="301" spans="1:9" x14ac:dyDescent="0.25">
      <c r="A301" t="s">
        <v>9</v>
      </c>
      <c r="B301" t="s">
        <v>144</v>
      </c>
      <c r="C301">
        <v>409</v>
      </c>
      <c r="D301">
        <v>126</v>
      </c>
      <c r="E301" t="s">
        <v>11</v>
      </c>
      <c r="F301" t="s">
        <v>874</v>
      </c>
      <c r="G301" t="s">
        <v>13</v>
      </c>
      <c r="H301" t="s">
        <v>875</v>
      </c>
      <c r="I301" t="s">
        <v>870</v>
      </c>
    </row>
    <row r="302" spans="1:9" x14ac:dyDescent="0.25">
      <c r="A302" t="s">
        <v>9</v>
      </c>
      <c r="B302" t="s">
        <v>147</v>
      </c>
      <c r="C302">
        <v>532</v>
      </c>
      <c r="D302">
        <v>123</v>
      </c>
      <c r="E302" t="s">
        <v>11</v>
      </c>
      <c r="F302" t="s">
        <v>876</v>
      </c>
      <c r="G302" t="s">
        <v>13</v>
      </c>
      <c r="H302" t="s">
        <v>877</v>
      </c>
      <c r="I302" t="s">
        <v>870</v>
      </c>
    </row>
    <row r="303" spans="1:9" x14ac:dyDescent="0.25">
      <c r="A303" t="s">
        <v>9</v>
      </c>
      <c r="B303" t="s">
        <v>150</v>
      </c>
      <c r="C303">
        <v>659</v>
      </c>
      <c r="D303">
        <v>127</v>
      </c>
      <c r="E303" t="s">
        <v>11</v>
      </c>
      <c r="F303" t="s">
        <v>871</v>
      </c>
      <c r="G303" t="s">
        <v>13</v>
      </c>
      <c r="H303" t="s">
        <v>878</v>
      </c>
      <c r="I303" t="s">
        <v>870</v>
      </c>
    </row>
    <row r="304" spans="1:9" x14ac:dyDescent="0.25">
      <c r="A304" t="s">
        <v>9</v>
      </c>
      <c r="B304" t="s">
        <v>152</v>
      </c>
      <c r="C304">
        <v>785</v>
      </c>
      <c r="D304">
        <v>126</v>
      </c>
      <c r="E304" t="s">
        <v>11</v>
      </c>
      <c r="F304" t="s">
        <v>874</v>
      </c>
      <c r="G304" t="s">
        <v>13</v>
      </c>
      <c r="H304" t="s">
        <v>879</v>
      </c>
      <c r="I304" t="s">
        <v>870</v>
      </c>
    </row>
    <row r="305" spans="1:9" x14ac:dyDescent="0.25">
      <c r="A305" t="s">
        <v>9</v>
      </c>
      <c r="B305" t="s">
        <v>154</v>
      </c>
      <c r="C305">
        <v>910</v>
      </c>
      <c r="D305">
        <v>125</v>
      </c>
      <c r="E305" t="s">
        <v>11</v>
      </c>
      <c r="F305" t="s">
        <v>880</v>
      </c>
      <c r="G305" t="s">
        <v>13</v>
      </c>
      <c r="H305" t="s">
        <v>881</v>
      </c>
      <c r="I305" t="s">
        <v>870</v>
      </c>
    </row>
    <row r="306" spans="1:9" x14ac:dyDescent="0.25">
      <c r="A306" t="s">
        <v>9</v>
      </c>
      <c r="B306" t="s">
        <v>157</v>
      </c>
      <c r="C306">
        <v>1032</v>
      </c>
      <c r="D306">
        <v>122</v>
      </c>
      <c r="E306" t="s">
        <v>11</v>
      </c>
      <c r="F306" t="s">
        <v>882</v>
      </c>
      <c r="G306" t="s">
        <v>13</v>
      </c>
      <c r="H306" t="s">
        <v>883</v>
      </c>
      <c r="I306" t="s">
        <v>870</v>
      </c>
    </row>
    <row r="307" spans="1:9" x14ac:dyDescent="0.25">
      <c r="A307" t="s">
        <v>35</v>
      </c>
      <c r="B307" t="s">
        <v>160</v>
      </c>
      <c r="C307">
        <v>1158</v>
      </c>
      <c r="D307">
        <v>126</v>
      </c>
      <c r="E307" t="s">
        <v>11</v>
      </c>
      <c r="F307" t="s">
        <v>874</v>
      </c>
      <c r="G307" t="s">
        <v>884</v>
      </c>
      <c r="H307" t="s">
        <v>885</v>
      </c>
      <c r="I307" t="s">
        <v>870</v>
      </c>
    </row>
    <row r="308" spans="1:9" x14ac:dyDescent="0.25">
      <c r="A308" t="s">
        <v>9</v>
      </c>
      <c r="B308" t="s">
        <v>162</v>
      </c>
      <c r="C308">
        <v>1281</v>
      </c>
      <c r="D308">
        <v>123</v>
      </c>
      <c r="E308" t="s">
        <v>11</v>
      </c>
      <c r="F308" t="s">
        <v>886</v>
      </c>
      <c r="G308" t="s">
        <v>13</v>
      </c>
      <c r="H308" t="s">
        <v>887</v>
      </c>
      <c r="I308" t="s">
        <v>870</v>
      </c>
    </row>
    <row r="309" spans="1:9" x14ac:dyDescent="0.25">
      <c r="A309" t="s">
        <v>35</v>
      </c>
      <c r="B309" t="s">
        <v>164</v>
      </c>
      <c r="C309">
        <v>1409</v>
      </c>
      <c r="D309">
        <v>128</v>
      </c>
      <c r="E309" t="s">
        <v>11</v>
      </c>
      <c r="F309" t="s">
        <v>888</v>
      </c>
      <c r="G309" t="s">
        <v>889</v>
      </c>
      <c r="H309" t="s">
        <v>890</v>
      </c>
      <c r="I309" t="s">
        <v>870</v>
      </c>
    </row>
    <row r="310" spans="1:9" x14ac:dyDescent="0.25">
      <c r="A310" t="s">
        <v>9</v>
      </c>
      <c r="B310" t="s">
        <v>167</v>
      </c>
      <c r="C310">
        <v>1532</v>
      </c>
      <c r="D310">
        <v>123</v>
      </c>
      <c r="E310" t="s">
        <v>11</v>
      </c>
      <c r="F310" t="s">
        <v>891</v>
      </c>
      <c r="G310" t="s">
        <v>13</v>
      </c>
      <c r="H310" t="s">
        <v>892</v>
      </c>
      <c r="I310" t="s">
        <v>870</v>
      </c>
    </row>
    <row r="311" spans="1:9" x14ac:dyDescent="0.25">
      <c r="A311" t="s">
        <v>35</v>
      </c>
      <c r="B311" t="s">
        <v>169</v>
      </c>
      <c r="C311">
        <v>1660</v>
      </c>
      <c r="D311">
        <v>128</v>
      </c>
      <c r="E311" t="s">
        <v>11</v>
      </c>
      <c r="F311" t="s">
        <v>893</v>
      </c>
      <c r="G311" t="s">
        <v>889</v>
      </c>
      <c r="H311" t="s">
        <v>894</v>
      </c>
      <c r="I311" t="s">
        <v>870</v>
      </c>
    </row>
    <row r="312" spans="1:9" x14ac:dyDescent="0.25">
      <c r="A312" t="s">
        <v>9</v>
      </c>
      <c r="B312" t="s">
        <v>134</v>
      </c>
      <c r="C312">
        <v>32</v>
      </c>
      <c r="D312">
        <v>124</v>
      </c>
      <c r="E312" t="s">
        <v>11</v>
      </c>
      <c r="F312" t="s">
        <v>868</v>
      </c>
      <c r="G312" t="s">
        <v>13</v>
      </c>
      <c r="H312" t="s">
        <v>895</v>
      </c>
      <c r="I312" t="s">
        <v>896</v>
      </c>
    </row>
    <row r="313" spans="1:9" x14ac:dyDescent="0.25">
      <c r="A313" t="s">
        <v>9</v>
      </c>
      <c r="B313" t="s">
        <v>138</v>
      </c>
      <c r="C313">
        <v>159</v>
      </c>
      <c r="D313">
        <v>127</v>
      </c>
      <c r="E313" t="s">
        <v>11</v>
      </c>
      <c r="F313" t="s">
        <v>871</v>
      </c>
      <c r="G313" t="s">
        <v>13</v>
      </c>
      <c r="H313" t="s">
        <v>897</v>
      </c>
      <c r="I313" t="s">
        <v>896</v>
      </c>
    </row>
    <row r="314" spans="1:9" x14ac:dyDescent="0.25">
      <c r="A314" t="s">
        <v>9</v>
      </c>
      <c r="B314" t="s">
        <v>141</v>
      </c>
      <c r="C314">
        <v>283</v>
      </c>
      <c r="D314">
        <v>124</v>
      </c>
      <c r="E314" t="s">
        <v>11</v>
      </c>
      <c r="F314" t="s">
        <v>868</v>
      </c>
      <c r="G314" t="s">
        <v>13</v>
      </c>
      <c r="H314" t="s">
        <v>898</v>
      </c>
      <c r="I314" t="s">
        <v>896</v>
      </c>
    </row>
    <row r="315" spans="1:9" x14ac:dyDescent="0.25">
      <c r="A315" t="s">
        <v>9</v>
      </c>
      <c r="B315" t="s">
        <v>144</v>
      </c>
      <c r="C315">
        <v>409</v>
      </c>
      <c r="D315">
        <v>126</v>
      </c>
      <c r="E315" t="s">
        <v>11</v>
      </c>
      <c r="F315" t="s">
        <v>874</v>
      </c>
      <c r="G315" t="s">
        <v>13</v>
      </c>
      <c r="H315" t="s">
        <v>899</v>
      </c>
      <c r="I315" t="s">
        <v>896</v>
      </c>
    </row>
    <row r="316" spans="1:9" x14ac:dyDescent="0.25">
      <c r="A316" t="s">
        <v>9</v>
      </c>
      <c r="B316" t="s">
        <v>147</v>
      </c>
      <c r="C316">
        <v>532</v>
      </c>
      <c r="D316">
        <v>123</v>
      </c>
      <c r="E316" t="s">
        <v>11</v>
      </c>
      <c r="F316" t="s">
        <v>876</v>
      </c>
      <c r="G316" t="s">
        <v>13</v>
      </c>
      <c r="H316" t="s">
        <v>900</v>
      </c>
      <c r="I316" t="s">
        <v>896</v>
      </c>
    </row>
    <row r="317" spans="1:9" x14ac:dyDescent="0.25">
      <c r="A317" t="s">
        <v>9</v>
      </c>
      <c r="B317" t="s">
        <v>150</v>
      </c>
      <c r="C317">
        <v>659</v>
      </c>
      <c r="D317">
        <v>127</v>
      </c>
      <c r="E317" t="s">
        <v>11</v>
      </c>
      <c r="F317" t="s">
        <v>871</v>
      </c>
      <c r="G317" t="s">
        <v>13</v>
      </c>
      <c r="H317" t="s">
        <v>901</v>
      </c>
      <c r="I317" t="s">
        <v>896</v>
      </c>
    </row>
    <row r="318" spans="1:9" x14ac:dyDescent="0.25">
      <c r="A318" t="s">
        <v>9</v>
      </c>
      <c r="B318" t="s">
        <v>152</v>
      </c>
      <c r="C318">
        <v>785</v>
      </c>
      <c r="D318">
        <v>126</v>
      </c>
      <c r="E318" t="s">
        <v>11</v>
      </c>
      <c r="F318" t="s">
        <v>874</v>
      </c>
      <c r="G318" t="s">
        <v>13</v>
      </c>
      <c r="H318" t="s">
        <v>902</v>
      </c>
      <c r="I318" t="s">
        <v>896</v>
      </c>
    </row>
    <row r="319" spans="1:9" x14ac:dyDescent="0.25">
      <c r="A319" t="s">
        <v>9</v>
      </c>
      <c r="B319" t="s">
        <v>154</v>
      </c>
      <c r="C319">
        <v>910</v>
      </c>
      <c r="D319">
        <v>125</v>
      </c>
      <c r="E319" t="s">
        <v>11</v>
      </c>
      <c r="F319" t="s">
        <v>880</v>
      </c>
      <c r="G319" t="s">
        <v>13</v>
      </c>
      <c r="H319" t="s">
        <v>903</v>
      </c>
      <c r="I319" t="s">
        <v>896</v>
      </c>
    </row>
    <row r="320" spans="1:9" x14ac:dyDescent="0.25">
      <c r="A320" t="s">
        <v>9</v>
      </c>
      <c r="B320" t="s">
        <v>157</v>
      </c>
      <c r="C320">
        <v>1032</v>
      </c>
      <c r="D320">
        <v>122</v>
      </c>
      <c r="E320" t="s">
        <v>11</v>
      </c>
      <c r="F320" t="s">
        <v>882</v>
      </c>
      <c r="G320" t="s">
        <v>13</v>
      </c>
      <c r="H320" t="s">
        <v>904</v>
      </c>
      <c r="I320" t="s">
        <v>896</v>
      </c>
    </row>
    <row r="321" spans="1:9" x14ac:dyDescent="0.25">
      <c r="A321" t="s">
        <v>35</v>
      </c>
      <c r="B321" t="s">
        <v>160</v>
      </c>
      <c r="C321">
        <v>1158</v>
      </c>
      <c r="D321">
        <v>126</v>
      </c>
      <c r="E321" t="s">
        <v>11</v>
      </c>
      <c r="F321" t="s">
        <v>874</v>
      </c>
      <c r="G321" t="s">
        <v>884</v>
      </c>
      <c r="H321" t="s">
        <v>905</v>
      </c>
      <c r="I321" t="s">
        <v>896</v>
      </c>
    </row>
    <row r="322" spans="1:9" x14ac:dyDescent="0.25">
      <c r="A322" t="s">
        <v>9</v>
      </c>
      <c r="B322" t="s">
        <v>162</v>
      </c>
      <c r="C322">
        <v>1281</v>
      </c>
      <c r="D322">
        <v>123</v>
      </c>
      <c r="E322" t="s">
        <v>11</v>
      </c>
      <c r="F322" t="s">
        <v>886</v>
      </c>
      <c r="G322" t="s">
        <v>13</v>
      </c>
      <c r="H322" t="s">
        <v>906</v>
      </c>
      <c r="I322" t="s">
        <v>896</v>
      </c>
    </row>
    <row r="323" spans="1:9" x14ac:dyDescent="0.25">
      <c r="A323" t="s">
        <v>35</v>
      </c>
      <c r="B323" t="s">
        <v>164</v>
      </c>
      <c r="C323">
        <v>1409</v>
      </c>
      <c r="D323">
        <v>128</v>
      </c>
      <c r="E323" t="s">
        <v>11</v>
      </c>
      <c r="F323" t="s">
        <v>888</v>
      </c>
      <c r="G323" t="s">
        <v>889</v>
      </c>
      <c r="H323" t="s">
        <v>907</v>
      </c>
      <c r="I323" t="s">
        <v>896</v>
      </c>
    </row>
    <row r="324" spans="1:9" x14ac:dyDescent="0.25">
      <c r="A324" t="s">
        <v>9</v>
      </c>
      <c r="B324" t="s">
        <v>167</v>
      </c>
      <c r="C324">
        <v>1532</v>
      </c>
      <c r="D324">
        <v>123</v>
      </c>
      <c r="E324" t="s">
        <v>11</v>
      </c>
      <c r="F324" t="s">
        <v>891</v>
      </c>
      <c r="G324" t="s">
        <v>13</v>
      </c>
      <c r="H324" t="s">
        <v>908</v>
      </c>
      <c r="I324" t="s">
        <v>896</v>
      </c>
    </row>
    <row r="325" spans="1:9" x14ac:dyDescent="0.25">
      <c r="A325" t="s">
        <v>35</v>
      </c>
      <c r="B325" t="s">
        <v>169</v>
      </c>
      <c r="C325">
        <v>1660</v>
      </c>
      <c r="D325">
        <v>128</v>
      </c>
      <c r="E325" t="s">
        <v>11</v>
      </c>
      <c r="F325" t="s">
        <v>893</v>
      </c>
      <c r="G325" t="s">
        <v>889</v>
      </c>
      <c r="H325" t="s">
        <v>909</v>
      </c>
      <c r="I325" t="s">
        <v>896</v>
      </c>
    </row>
    <row r="326" spans="1:9" x14ac:dyDescent="0.25">
      <c r="A326" t="s">
        <v>9</v>
      </c>
      <c r="B326" t="s">
        <v>53</v>
      </c>
      <c r="C326">
        <v>73</v>
      </c>
      <c r="D326">
        <v>123</v>
      </c>
      <c r="E326" t="s">
        <v>11</v>
      </c>
      <c r="F326" t="s">
        <v>910</v>
      </c>
      <c r="G326" t="s">
        <v>13</v>
      </c>
      <c r="H326" t="s">
        <v>911</v>
      </c>
      <c r="I326" t="s">
        <v>912</v>
      </c>
    </row>
    <row r="327" spans="1:9" x14ac:dyDescent="0.25">
      <c r="A327" t="s">
        <v>9</v>
      </c>
      <c r="B327" t="s">
        <v>57</v>
      </c>
      <c r="C327">
        <v>201</v>
      </c>
      <c r="D327">
        <v>128</v>
      </c>
      <c r="E327" t="s">
        <v>11</v>
      </c>
      <c r="F327" t="s">
        <v>913</v>
      </c>
      <c r="G327" t="s">
        <v>13</v>
      </c>
      <c r="H327" t="s">
        <v>914</v>
      </c>
      <c r="I327" t="s">
        <v>912</v>
      </c>
    </row>
    <row r="328" spans="1:9" x14ac:dyDescent="0.25">
      <c r="A328" t="s">
        <v>9</v>
      </c>
      <c r="B328" t="s">
        <v>60</v>
      </c>
      <c r="C328">
        <v>323</v>
      </c>
      <c r="D328">
        <v>122</v>
      </c>
      <c r="E328" t="s">
        <v>11</v>
      </c>
      <c r="F328" t="s">
        <v>915</v>
      </c>
      <c r="G328" t="s">
        <v>13</v>
      </c>
      <c r="H328" t="s">
        <v>916</v>
      </c>
      <c r="I328" t="s">
        <v>912</v>
      </c>
    </row>
    <row r="329" spans="1:9" x14ac:dyDescent="0.25">
      <c r="A329" t="s">
        <v>9</v>
      </c>
      <c r="B329" t="s">
        <v>63</v>
      </c>
      <c r="C329">
        <v>450</v>
      </c>
      <c r="D329">
        <v>127</v>
      </c>
      <c r="E329" t="s">
        <v>11</v>
      </c>
      <c r="F329" t="s">
        <v>917</v>
      </c>
      <c r="G329" t="s">
        <v>13</v>
      </c>
      <c r="H329" t="s">
        <v>918</v>
      </c>
      <c r="I329" t="s">
        <v>912</v>
      </c>
    </row>
    <row r="330" spans="1:9" x14ac:dyDescent="0.25">
      <c r="A330" t="s">
        <v>9</v>
      </c>
      <c r="B330" t="s">
        <v>66</v>
      </c>
      <c r="C330">
        <v>573</v>
      </c>
      <c r="D330">
        <v>123</v>
      </c>
      <c r="E330" t="s">
        <v>11</v>
      </c>
      <c r="F330" t="s">
        <v>910</v>
      </c>
      <c r="G330" t="s">
        <v>13</v>
      </c>
      <c r="H330" t="s">
        <v>919</v>
      </c>
      <c r="I330" t="s">
        <v>912</v>
      </c>
    </row>
    <row r="331" spans="1:9" x14ac:dyDescent="0.25">
      <c r="A331" t="s">
        <v>9</v>
      </c>
      <c r="B331" t="s">
        <v>68</v>
      </c>
      <c r="C331">
        <v>700</v>
      </c>
      <c r="D331">
        <v>127</v>
      </c>
      <c r="E331" t="s">
        <v>11</v>
      </c>
      <c r="F331" t="s">
        <v>917</v>
      </c>
      <c r="G331" t="s">
        <v>13</v>
      </c>
      <c r="H331" t="s">
        <v>920</v>
      </c>
      <c r="I331" t="s">
        <v>912</v>
      </c>
    </row>
    <row r="332" spans="1:9" x14ac:dyDescent="0.25">
      <c r="A332" t="s">
        <v>9</v>
      </c>
      <c r="B332" t="s">
        <v>70</v>
      </c>
      <c r="C332">
        <v>826</v>
      </c>
      <c r="D332">
        <v>126</v>
      </c>
      <c r="E332" t="s">
        <v>11</v>
      </c>
      <c r="F332" t="s">
        <v>921</v>
      </c>
      <c r="G332" t="s">
        <v>13</v>
      </c>
      <c r="H332" t="s">
        <v>922</v>
      </c>
      <c r="I332" t="s">
        <v>912</v>
      </c>
    </row>
    <row r="333" spans="1:9" x14ac:dyDescent="0.25">
      <c r="A333" t="s">
        <v>9</v>
      </c>
      <c r="B333" t="s">
        <v>73</v>
      </c>
      <c r="C333">
        <v>951</v>
      </c>
      <c r="D333">
        <v>125</v>
      </c>
      <c r="E333" t="s">
        <v>11</v>
      </c>
      <c r="F333" t="s">
        <v>923</v>
      </c>
      <c r="G333" t="s">
        <v>13</v>
      </c>
      <c r="H333" t="s">
        <v>924</v>
      </c>
      <c r="I333" t="s">
        <v>912</v>
      </c>
    </row>
    <row r="334" spans="1:9" x14ac:dyDescent="0.25">
      <c r="A334" t="s">
        <v>9</v>
      </c>
      <c r="B334" t="s">
        <v>76</v>
      </c>
      <c r="C334">
        <v>1074</v>
      </c>
      <c r="D334">
        <v>123</v>
      </c>
      <c r="E334" t="s">
        <v>11</v>
      </c>
      <c r="F334" t="s">
        <v>910</v>
      </c>
      <c r="G334" t="s">
        <v>13</v>
      </c>
      <c r="H334" t="s">
        <v>925</v>
      </c>
      <c r="I334" t="s">
        <v>912</v>
      </c>
    </row>
    <row r="335" spans="1:9" x14ac:dyDescent="0.25">
      <c r="A335" t="s">
        <v>9</v>
      </c>
      <c r="B335" t="s">
        <v>79</v>
      </c>
      <c r="C335">
        <v>1200</v>
      </c>
      <c r="D335">
        <v>126</v>
      </c>
      <c r="E335" t="s">
        <v>11</v>
      </c>
      <c r="F335" t="s">
        <v>921</v>
      </c>
      <c r="G335" t="s">
        <v>13</v>
      </c>
      <c r="H335" t="s">
        <v>926</v>
      </c>
      <c r="I335" t="s">
        <v>912</v>
      </c>
    </row>
    <row r="336" spans="1:9" x14ac:dyDescent="0.25">
      <c r="A336" t="s">
        <v>35</v>
      </c>
      <c r="B336" t="s">
        <v>82</v>
      </c>
      <c r="C336">
        <v>1324</v>
      </c>
      <c r="D336">
        <v>124</v>
      </c>
      <c r="E336" t="s">
        <v>11</v>
      </c>
      <c r="F336" t="s">
        <v>927</v>
      </c>
      <c r="G336" t="s">
        <v>928</v>
      </c>
      <c r="H336" t="s">
        <v>929</v>
      </c>
      <c r="I336" t="s">
        <v>912</v>
      </c>
    </row>
    <row r="337" spans="1:9" x14ac:dyDescent="0.25">
      <c r="A337" t="s">
        <v>9</v>
      </c>
      <c r="B337" t="s">
        <v>134</v>
      </c>
      <c r="C337">
        <v>32</v>
      </c>
      <c r="D337">
        <v>124</v>
      </c>
      <c r="E337" t="s">
        <v>11</v>
      </c>
      <c r="F337" t="s">
        <v>930</v>
      </c>
      <c r="G337" t="s">
        <v>13</v>
      </c>
      <c r="H337" t="s">
        <v>931</v>
      </c>
      <c r="I337" t="s">
        <v>932</v>
      </c>
    </row>
    <row r="338" spans="1:9" x14ac:dyDescent="0.25">
      <c r="A338" t="s">
        <v>9</v>
      </c>
      <c r="B338" t="s">
        <v>138</v>
      </c>
      <c r="C338">
        <v>159</v>
      </c>
      <c r="D338">
        <v>127</v>
      </c>
      <c r="E338" t="s">
        <v>11</v>
      </c>
      <c r="F338" t="s">
        <v>933</v>
      </c>
      <c r="G338" t="s">
        <v>13</v>
      </c>
      <c r="H338" t="s">
        <v>934</v>
      </c>
      <c r="I338" t="s">
        <v>932</v>
      </c>
    </row>
    <row r="339" spans="1:9" x14ac:dyDescent="0.25">
      <c r="A339" t="s">
        <v>9</v>
      </c>
      <c r="B339" t="s">
        <v>141</v>
      </c>
      <c r="C339">
        <v>283</v>
      </c>
      <c r="D339">
        <v>124</v>
      </c>
      <c r="E339" t="s">
        <v>11</v>
      </c>
      <c r="F339" t="s">
        <v>930</v>
      </c>
      <c r="G339" t="s">
        <v>13</v>
      </c>
      <c r="H339" t="s">
        <v>935</v>
      </c>
      <c r="I339" t="s">
        <v>932</v>
      </c>
    </row>
    <row r="340" spans="1:9" x14ac:dyDescent="0.25">
      <c r="A340" t="s">
        <v>9</v>
      </c>
      <c r="B340" t="s">
        <v>144</v>
      </c>
      <c r="C340">
        <v>409</v>
      </c>
      <c r="D340">
        <v>126</v>
      </c>
      <c r="E340" t="s">
        <v>11</v>
      </c>
      <c r="F340" t="s">
        <v>936</v>
      </c>
      <c r="G340" t="s">
        <v>13</v>
      </c>
      <c r="H340" t="s">
        <v>937</v>
      </c>
      <c r="I340" t="s">
        <v>932</v>
      </c>
    </row>
    <row r="341" spans="1:9" x14ac:dyDescent="0.25">
      <c r="A341" t="s">
        <v>9</v>
      </c>
      <c r="B341" t="s">
        <v>147</v>
      </c>
      <c r="C341">
        <v>532</v>
      </c>
      <c r="D341">
        <v>123</v>
      </c>
      <c r="E341" t="s">
        <v>11</v>
      </c>
      <c r="F341" t="s">
        <v>938</v>
      </c>
      <c r="G341" t="s">
        <v>13</v>
      </c>
      <c r="H341" t="s">
        <v>939</v>
      </c>
      <c r="I341" t="s">
        <v>932</v>
      </c>
    </row>
    <row r="342" spans="1:9" x14ac:dyDescent="0.25">
      <c r="A342" t="s">
        <v>9</v>
      </c>
      <c r="B342" t="s">
        <v>150</v>
      </c>
      <c r="C342">
        <v>659</v>
      </c>
      <c r="D342">
        <v>127</v>
      </c>
      <c r="E342" t="s">
        <v>11</v>
      </c>
      <c r="F342" t="s">
        <v>933</v>
      </c>
      <c r="G342" t="s">
        <v>13</v>
      </c>
      <c r="H342" t="s">
        <v>940</v>
      </c>
      <c r="I342" t="s">
        <v>932</v>
      </c>
    </row>
    <row r="343" spans="1:9" x14ac:dyDescent="0.25">
      <c r="A343" t="s">
        <v>9</v>
      </c>
      <c r="B343" t="s">
        <v>152</v>
      </c>
      <c r="C343">
        <v>785</v>
      </c>
      <c r="D343">
        <v>126</v>
      </c>
      <c r="E343" t="s">
        <v>11</v>
      </c>
      <c r="F343" t="s">
        <v>936</v>
      </c>
      <c r="G343" t="s">
        <v>13</v>
      </c>
      <c r="H343" t="s">
        <v>941</v>
      </c>
      <c r="I343" t="s">
        <v>932</v>
      </c>
    </row>
    <row r="344" spans="1:9" x14ac:dyDescent="0.25">
      <c r="A344" t="s">
        <v>9</v>
      </c>
      <c r="B344" t="s">
        <v>154</v>
      </c>
      <c r="C344">
        <v>910</v>
      </c>
      <c r="D344">
        <v>125</v>
      </c>
      <c r="E344" t="s">
        <v>11</v>
      </c>
      <c r="F344" t="s">
        <v>942</v>
      </c>
      <c r="G344" t="s">
        <v>13</v>
      </c>
      <c r="H344" t="s">
        <v>943</v>
      </c>
      <c r="I344" t="s">
        <v>932</v>
      </c>
    </row>
    <row r="345" spans="1:9" x14ac:dyDescent="0.25">
      <c r="A345" t="s">
        <v>9</v>
      </c>
      <c r="B345" t="s">
        <v>157</v>
      </c>
      <c r="C345">
        <v>1032</v>
      </c>
      <c r="D345">
        <v>122</v>
      </c>
      <c r="E345" t="s">
        <v>11</v>
      </c>
      <c r="F345" t="s">
        <v>944</v>
      </c>
      <c r="G345" t="s">
        <v>13</v>
      </c>
      <c r="H345" t="s">
        <v>945</v>
      </c>
      <c r="I345" t="s">
        <v>932</v>
      </c>
    </row>
    <row r="346" spans="1:9" x14ac:dyDescent="0.25">
      <c r="A346" t="s">
        <v>9</v>
      </c>
      <c r="B346" t="s">
        <v>160</v>
      </c>
      <c r="C346">
        <v>1158</v>
      </c>
      <c r="D346">
        <v>126</v>
      </c>
      <c r="E346" t="s">
        <v>11</v>
      </c>
      <c r="F346" t="s">
        <v>936</v>
      </c>
      <c r="G346" t="s">
        <v>13</v>
      </c>
      <c r="H346" t="s">
        <v>946</v>
      </c>
      <c r="I346" t="s">
        <v>932</v>
      </c>
    </row>
    <row r="347" spans="1:9" x14ac:dyDescent="0.25">
      <c r="A347" t="s">
        <v>9</v>
      </c>
      <c r="B347" t="s">
        <v>162</v>
      </c>
      <c r="C347">
        <v>1281</v>
      </c>
      <c r="D347">
        <v>123</v>
      </c>
      <c r="E347" t="s">
        <v>11</v>
      </c>
      <c r="F347" t="s">
        <v>938</v>
      </c>
      <c r="G347" t="s">
        <v>13</v>
      </c>
      <c r="H347" t="s">
        <v>947</v>
      </c>
      <c r="I347" t="s">
        <v>932</v>
      </c>
    </row>
    <row r="348" spans="1:9" x14ac:dyDescent="0.25">
      <c r="A348" t="s">
        <v>9</v>
      </c>
      <c r="B348" t="s">
        <v>164</v>
      </c>
      <c r="C348">
        <v>1409</v>
      </c>
      <c r="D348">
        <v>128</v>
      </c>
      <c r="E348" t="s">
        <v>11</v>
      </c>
      <c r="F348" t="s">
        <v>948</v>
      </c>
      <c r="G348" t="s">
        <v>13</v>
      </c>
      <c r="H348" t="s">
        <v>949</v>
      </c>
      <c r="I348" t="s">
        <v>932</v>
      </c>
    </row>
    <row r="349" spans="1:9" x14ac:dyDescent="0.25">
      <c r="A349" t="s">
        <v>9</v>
      </c>
      <c r="B349" t="s">
        <v>167</v>
      </c>
      <c r="C349">
        <v>1532</v>
      </c>
      <c r="D349">
        <v>123</v>
      </c>
      <c r="E349" t="s">
        <v>11</v>
      </c>
      <c r="F349" t="s">
        <v>938</v>
      </c>
      <c r="G349" t="s">
        <v>13</v>
      </c>
      <c r="H349" t="s">
        <v>950</v>
      </c>
      <c r="I349" t="s">
        <v>932</v>
      </c>
    </row>
    <row r="350" spans="1:9" x14ac:dyDescent="0.25">
      <c r="A350" t="s">
        <v>35</v>
      </c>
      <c r="B350" t="s">
        <v>169</v>
      </c>
      <c r="C350">
        <v>1660</v>
      </c>
      <c r="D350">
        <v>128</v>
      </c>
      <c r="E350" t="s">
        <v>11</v>
      </c>
      <c r="F350" t="s">
        <v>948</v>
      </c>
      <c r="G350" t="s">
        <v>951</v>
      </c>
      <c r="H350" t="s">
        <v>952</v>
      </c>
      <c r="I350" t="s">
        <v>932</v>
      </c>
    </row>
    <row r="351" spans="1:9" x14ac:dyDescent="0.25">
      <c r="A351" t="s">
        <v>9</v>
      </c>
      <c r="B351" t="s">
        <v>171</v>
      </c>
      <c r="C351">
        <v>1785</v>
      </c>
      <c r="D351">
        <v>125</v>
      </c>
      <c r="E351" t="s">
        <v>11</v>
      </c>
      <c r="F351" t="s">
        <v>953</v>
      </c>
      <c r="G351" t="s">
        <v>13</v>
      </c>
      <c r="H351" t="s">
        <v>954</v>
      </c>
      <c r="I351" t="s">
        <v>932</v>
      </c>
    </row>
    <row r="352" spans="1:9" x14ac:dyDescent="0.25">
      <c r="A352" t="s">
        <v>35</v>
      </c>
      <c r="B352" t="s">
        <v>173</v>
      </c>
      <c r="C352">
        <v>1912</v>
      </c>
      <c r="D352">
        <v>127</v>
      </c>
      <c r="E352" t="s">
        <v>11</v>
      </c>
      <c r="F352" t="s">
        <v>955</v>
      </c>
      <c r="G352" t="s">
        <v>956</v>
      </c>
      <c r="H352" t="s">
        <v>957</v>
      </c>
      <c r="I352" t="s">
        <v>932</v>
      </c>
    </row>
    <row r="353" spans="1:9" x14ac:dyDescent="0.25">
      <c r="A353" t="s">
        <v>9</v>
      </c>
      <c r="B353" t="s">
        <v>175</v>
      </c>
      <c r="C353">
        <v>2038</v>
      </c>
      <c r="D353">
        <v>126</v>
      </c>
      <c r="E353" t="s">
        <v>11</v>
      </c>
      <c r="F353" t="s">
        <v>958</v>
      </c>
      <c r="G353" t="s">
        <v>13</v>
      </c>
      <c r="H353" t="s">
        <v>959</v>
      </c>
      <c r="I353" t="s">
        <v>932</v>
      </c>
    </row>
    <row r="354" spans="1:9" x14ac:dyDescent="0.25">
      <c r="A354" t="s">
        <v>35</v>
      </c>
      <c r="B354" t="s">
        <v>177</v>
      </c>
      <c r="C354">
        <v>2164</v>
      </c>
      <c r="D354">
        <v>126</v>
      </c>
      <c r="E354" t="s">
        <v>11</v>
      </c>
      <c r="F354" t="s">
        <v>958</v>
      </c>
      <c r="G354" t="s">
        <v>956</v>
      </c>
      <c r="H354" t="s">
        <v>960</v>
      </c>
      <c r="I354" t="s">
        <v>932</v>
      </c>
    </row>
    <row r="355" spans="1:9" x14ac:dyDescent="0.25">
      <c r="A355" t="s">
        <v>35</v>
      </c>
      <c r="B355" t="s">
        <v>53</v>
      </c>
      <c r="C355">
        <v>73</v>
      </c>
      <c r="D355">
        <v>123</v>
      </c>
      <c r="E355" t="s">
        <v>11</v>
      </c>
      <c r="F355" t="s">
        <v>961</v>
      </c>
      <c r="G355" t="s">
        <v>962</v>
      </c>
      <c r="H355" t="s">
        <v>963</v>
      </c>
      <c r="I355" t="s">
        <v>964</v>
      </c>
    </row>
    <row r="356" spans="1:9" x14ac:dyDescent="0.25">
      <c r="A356" t="s">
        <v>9</v>
      </c>
      <c r="B356" t="s">
        <v>57</v>
      </c>
      <c r="C356">
        <v>201</v>
      </c>
      <c r="D356">
        <v>128</v>
      </c>
      <c r="E356" t="s">
        <v>11</v>
      </c>
      <c r="F356" t="s">
        <v>965</v>
      </c>
      <c r="G356" t="s">
        <v>13</v>
      </c>
      <c r="H356" t="s">
        <v>966</v>
      </c>
      <c r="I356" t="s">
        <v>964</v>
      </c>
    </row>
    <row r="357" spans="1:9" x14ac:dyDescent="0.25">
      <c r="A357" t="s">
        <v>35</v>
      </c>
      <c r="B357" t="s">
        <v>60</v>
      </c>
      <c r="C357">
        <v>323</v>
      </c>
      <c r="D357">
        <v>122</v>
      </c>
      <c r="E357" t="s">
        <v>11</v>
      </c>
      <c r="F357" t="s">
        <v>967</v>
      </c>
      <c r="G357" t="s">
        <v>968</v>
      </c>
      <c r="H357" t="s">
        <v>969</v>
      </c>
      <c r="I357" t="s">
        <v>964</v>
      </c>
    </row>
    <row r="358" spans="1:9" x14ac:dyDescent="0.25">
      <c r="A358" t="s">
        <v>9</v>
      </c>
      <c r="B358" t="s">
        <v>63</v>
      </c>
      <c r="C358">
        <v>450</v>
      </c>
      <c r="D358">
        <v>127</v>
      </c>
      <c r="E358" t="s">
        <v>11</v>
      </c>
      <c r="F358" t="s">
        <v>970</v>
      </c>
      <c r="G358" t="s">
        <v>13</v>
      </c>
      <c r="H358" t="s">
        <v>971</v>
      </c>
      <c r="I358" t="s">
        <v>964</v>
      </c>
    </row>
    <row r="359" spans="1:9" x14ac:dyDescent="0.25">
      <c r="A359" t="s">
        <v>35</v>
      </c>
      <c r="B359" t="s">
        <v>66</v>
      </c>
      <c r="C359">
        <v>573</v>
      </c>
      <c r="D359">
        <v>123</v>
      </c>
      <c r="E359" t="s">
        <v>11</v>
      </c>
      <c r="F359" t="s">
        <v>972</v>
      </c>
      <c r="G359" t="s">
        <v>973</v>
      </c>
      <c r="H359" t="s">
        <v>974</v>
      </c>
      <c r="I359" t="s">
        <v>964</v>
      </c>
    </row>
    <row r="360" spans="1:9" x14ac:dyDescent="0.25">
      <c r="A360" t="s">
        <v>9</v>
      </c>
      <c r="B360" t="s">
        <v>68</v>
      </c>
      <c r="C360">
        <v>700</v>
      </c>
      <c r="D360">
        <v>127</v>
      </c>
      <c r="E360" t="s">
        <v>11</v>
      </c>
      <c r="F360" t="s">
        <v>975</v>
      </c>
      <c r="G360" t="s">
        <v>13</v>
      </c>
      <c r="H360" t="s">
        <v>976</v>
      </c>
      <c r="I360" t="s">
        <v>964</v>
      </c>
    </row>
    <row r="361" spans="1:9" x14ac:dyDescent="0.25">
      <c r="A361" t="s">
        <v>35</v>
      </c>
      <c r="B361" t="s">
        <v>70</v>
      </c>
      <c r="C361">
        <v>826</v>
      </c>
      <c r="D361">
        <v>126</v>
      </c>
      <c r="E361" t="s">
        <v>11</v>
      </c>
      <c r="F361" t="s">
        <v>977</v>
      </c>
      <c r="G361" t="s">
        <v>978</v>
      </c>
      <c r="H361" t="s">
        <v>979</v>
      </c>
      <c r="I361" t="s">
        <v>964</v>
      </c>
    </row>
    <row r="362" spans="1:9" x14ac:dyDescent="0.25">
      <c r="A362" t="s">
        <v>9</v>
      </c>
      <c r="B362" t="s">
        <v>73</v>
      </c>
      <c r="C362">
        <v>951</v>
      </c>
      <c r="D362">
        <v>125</v>
      </c>
      <c r="E362" t="s">
        <v>11</v>
      </c>
      <c r="F362" t="s">
        <v>980</v>
      </c>
      <c r="G362" t="s">
        <v>13</v>
      </c>
      <c r="H362" t="s">
        <v>981</v>
      </c>
      <c r="I362" t="s">
        <v>964</v>
      </c>
    </row>
    <row r="363" spans="1:9" x14ac:dyDescent="0.25">
      <c r="A363" t="s">
        <v>35</v>
      </c>
      <c r="B363" t="s">
        <v>76</v>
      </c>
      <c r="C363">
        <v>1074</v>
      </c>
      <c r="D363">
        <v>123</v>
      </c>
      <c r="E363" t="s">
        <v>11</v>
      </c>
      <c r="F363" t="s">
        <v>982</v>
      </c>
      <c r="G363" t="s">
        <v>983</v>
      </c>
      <c r="H363" t="s">
        <v>984</v>
      </c>
      <c r="I363" t="s">
        <v>964</v>
      </c>
    </row>
    <row r="364" spans="1:9" x14ac:dyDescent="0.25">
      <c r="A364" t="s">
        <v>9</v>
      </c>
      <c r="B364" t="s">
        <v>79</v>
      </c>
      <c r="C364">
        <v>1200</v>
      </c>
      <c r="D364">
        <v>126</v>
      </c>
      <c r="E364" t="s">
        <v>11</v>
      </c>
      <c r="F364" t="s">
        <v>985</v>
      </c>
      <c r="G364" t="s">
        <v>13</v>
      </c>
      <c r="H364" t="s">
        <v>986</v>
      </c>
      <c r="I364" t="s">
        <v>964</v>
      </c>
    </row>
    <row r="365" spans="1:9" x14ac:dyDescent="0.25">
      <c r="A365" t="s">
        <v>35</v>
      </c>
      <c r="B365" t="s">
        <v>82</v>
      </c>
      <c r="C365">
        <v>1324</v>
      </c>
      <c r="D365">
        <v>124</v>
      </c>
      <c r="E365" t="s">
        <v>11</v>
      </c>
      <c r="F365" t="s">
        <v>987</v>
      </c>
      <c r="G365" t="s">
        <v>988</v>
      </c>
      <c r="H365" t="s">
        <v>989</v>
      </c>
      <c r="I365" t="s">
        <v>964</v>
      </c>
    </row>
    <row r="366" spans="1:9" x14ac:dyDescent="0.25">
      <c r="A366" t="s">
        <v>9</v>
      </c>
      <c r="B366" t="s">
        <v>498</v>
      </c>
      <c r="C366">
        <v>51</v>
      </c>
      <c r="D366">
        <v>120</v>
      </c>
      <c r="E366" t="s">
        <v>11</v>
      </c>
      <c r="F366" t="s">
        <v>990</v>
      </c>
      <c r="G366" t="s">
        <v>13</v>
      </c>
      <c r="H366" t="s">
        <v>991</v>
      </c>
      <c r="I366" t="s">
        <v>992</v>
      </c>
    </row>
    <row r="367" spans="1:9" x14ac:dyDescent="0.25">
      <c r="A367" t="s">
        <v>9</v>
      </c>
      <c r="B367" t="s">
        <v>503</v>
      </c>
      <c r="C367">
        <v>182</v>
      </c>
      <c r="D367">
        <v>131</v>
      </c>
      <c r="E367" t="s">
        <v>11</v>
      </c>
      <c r="F367" t="s">
        <v>993</v>
      </c>
      <c r="G367" t="s">
        <v>13</v>
      </c>
      <c r="H367" t="s">
        <v>994</v>
      </c>
      <c r="I367" t="s">
        <v>992</v>
      </c>
    </row>
    <row r="368" spans="1:9" x14ac:dyDescent="0.25">
      <c r="A368" t="s">
        <v>9</v>
      </c>
      <c r="B368" t="s">
        <v>507</v>
      </c>
      <c r="C368">
        <v>303</v>
      </c>
      <c r="D368">
        <v>121</v>
      </c>
      <c r="E368" t="s">
        <v>11</v>
      </c>
      <c r="F368" t="s">
        <v>995</v>
      </c>
      <c r="G368" t="s">
        <v>13</v>
      </c>
      <c r="H368" t="s">
        <v>996</v>
      </c>
      <c r="I368" t="s">
        <v>992</v>
      </c>
    </row>
    <row r="369" spans="1:9" x14ac:dyDescent="0.25">
      <c r="A369" t="s">
        <v>9</v>
      </c>
      <c r="B369" t="s">
        <v>511</v>
      </c>
      <c r="C369">
        <v>430</v>
      </c>
      <c r="D369">
        <v>127</v>
      </c>
      <c r="E369" t="s">
        <v>11</v>
      </c>
      <c r="F369" t="s">
        <v>997</v>
      </c>
      <c r="G369" t="s">
        <v>13</v>
      </c>
      <c r="H369" t="s">
        <v>998</v>
      </c>
      <c r="I369" t="s">
        <v>992</v>
      </c>
    </row>
    <row r="370" spans="1:9" x14ac:dyDescent="0.25">
      <c r="A370" t="s">
        <v>9</v>
      </c>
      <c r="B370" t="s">
        <v>515</v>
      </c>
      <c r="C370">
        <v>553</v>
      </c>
      <c r="D370">
        <v>123</v>
      </c>
      <c r="E370" t="s">
        <v>11</v>
      </c>
      <c r="F370" t="s">
        <v>999</v>
      </c>
      <c r="G370" t="s">
        <v>13</v>
      </c>
      <c r="H370" t="s">
        <v>1000</v>
      </c>
      <c r="I370" t="s">
        <v>992</v>
      </c>
    </row>
    <row r="371" spans="1:9" x14ac:dyDescent="0.25">
      <c r="A371" t="s">
        <v>9</v>
      </c>
      <c r="B371" t="s">
        <v>519</v>
      </c>
      <c r="C371">
        <v>679</v>
      </c>
      <c r="D371">
        <v>126</v>
      </c>
      <c r="E371" t="s">
        <v>11</v>
      </c>
      <c r="F371" t="s">
        <v>1001</v>
      </c>
      <c r="G371" t="s">
        <v>13</v>
      </c>
      <c r="H371" t="s">
        <v>1002</v>
      </c>
      <c r="I371" t="s">
        <v>992</v>
      </c>
    </row>
    <row r="372" spans="1:9" x14ac:dyDescent="0.25">
      <c r="A372" t="s">
        <v>9</v>
      </c>
      <c r="B372" t="s">
        <v>523</v>
      </c>
      <c r="C372">
        <v>803</v>
      </c>
      <c r="D372">
        <v>124</v>
      </c>
      <c r="E372" t="s">
        <v>11</v>
      </c>
      <c r="F372" t="s">
        <v>1003</v>
      </c>
      <c r="G372" t="s">
        <v>13</v>
      </c>
      <c r="H372" t="s">
        <v>1004</v>
      </c>
      <c r="I372" t="s">
        <v>992</v>
      </c>
    </row>
    <row r="373" spans="1:9" x14ac:dyDescent="0.25">
      <c r="A373" t="s">
        <v>9</v>
      </c>
      <c r="B373" t="s">
        <v>527</v>
      </c>
      <c r="C373">
        <v>931</v>
      </c>
      <c r="D373">
        <v>128</v>
      </c>
      <c r="E373" t="s">
        <v>11</v>
      </c>
      <c r="F373" t="s">
        <v>1005</v>
      </c>
      <c r="G373" t="s">
        <v>13</v>
      </c>
      <c r="H373" t="s">
        <v>1006</v>
      </c>
      <c r="I373" t="s">
        <v>992</v>
      </c>
    </row>
    <row r="374" spans="1:9" x14ac:dyDescent="0.25">
      <c r="A374" t="s">
        <v>9</v>
      </c>
      <c r="B374" t="s">
        <v>531</v>
      </c>
      <c r="C374">
        <v>1052</v>
      </c>
      <c r="D374">
        <v>121</v>
      </c>
      <c r="E374" t="s">
        <v>11</v>
      </c>
      <c r="F374" t="s">
        <v>995</v>
      </c>
      <c r="G374" t="s">
        <v>13</v>
      </c>
      <c r="H374" t="s">
        <v>1007</v>
      </c>
      <c r="I374" t="s">
        <v>992</v>
      </c>
    </row>
    <row r="375" spans="1:9" x14ac:dyDescent="0.25">
      <c r="A375" t="s">
        <v>9</v>
      </c>
      <c r="B375" t="s">
        <v>535</v>
      </c>
      <c r="C375">
        <v>1180</v>
      </c>
      <c r="D375">
        <v>128</v>
      </c>
      <c r="E375" t="s">
        <v>11</v>
      </c>
      <c r="F375" t="s">
        <v>1005</v>
      </c>
      <c r="G375" t="s">
        <v>13</v>
      </c>
      <c r="H375" t="s">
        <v>1008</v>
      </c>
      <c r="I375" t="s">
        <v>992</v>
      </c>
    </row>
    <row r="376" spans="1:9" x14ac:dyDescent="0.25">
      <c r="A376" t="s">
        <v>35</v>
      </c>
      <c r="B376" t="s">
        <v>539</v>
      </c>
      <c r="C376">
        <v>1301</v>
      </c>
      <c r="D376">
        <v>121</v>
      </c>
      <c r="E376" t="s">
        <v>11</v>
      </c>
      <c r="F376" t="s">
        <v>995</v>
      </c>
      <c r="G376" t="s">
        <v>1009</v>
      </c>
      <c r="H376" t="s">
        <v>1010</v>
      </c>
      <c r="I376" t="s">
        <v>992</v>
      </c>
    </row>
    <row r="377" spans="1:9" x14ac:dyDescent="0.25">
      <c r="A377" t="s">
        <v>9</v>
      </c>
      <c r="B377" t="s">
        <v>543</v>
      </c>
      <c r="C377">
        <v>1432</v>
      </c>
      <c r="D377">
        <v>131</v>
      </c>
      <c r="E377" t="s">
        <v>11</v>
      </c>
      <c r="F377" t="s">
        <v>1011</v>
      </c>
      <c r="G377" t="s">
        <v>13</v>
      </c>
      <c r="H377" t="s">
        <v>1012</v>
      </c>
      <c r="I377" t="s">
        <v>992</v>
      </c>
    </row>
    <row r="378" spans="1:9" x14ac:dyDescent="0.25">
      <c r="A378" t="s">
        <v>35</v>
      </c>
      <c r="B378" t="s">
        <v>547</v>
      </c>
      <c r="C378">
        <v>1552</v>
      </c>
      <c r="D378">
        <v>120</v>
      </c>
      <c r="E378" t="s">
        <v>11</v>
      </c>
      <c r="F378" t="s">
        <v>1013</v>
      </c>
      <c r="G378" t="s">
        <v>1014</v>
      </c>
      <c r="H378" t="s">
        <v>1015</v>
      </c>
      <c r="I378" t="s">
        <v>992</v>
      </c>
    </row>
    <row r="379" spans="1:9" x14ac:dyDescent="0.25">
      <c r="A379" t="s">
        <v>9</v>
      </c>
      <c r="B379" t="s">
        <v>551</v>
      </c>
      <c r="C379">
        <v>1683</v>
      </c>
      <c r="D379">
        <v>131</v>
      </c>
      <c r="E379" t="s">
        <v>11</v>
      </c>
      <c r="F379" t="s">
        <v>1016</v>
      </c>
      <c r="G379" t="s">
        <v>13</v>
      </c>
      <c r="H379" t="s">
        <v>1017</v>
      </c>
      <c r="I379" t="s">
        <v>992</v>
      </c>
    </row>
    <row r="380" spans="1:9" x14ac:dyDescent="0.25">
      <c r="A380" t="s">
        <v>35</v>
      </c>
      <c r="B380" t="s">
        <v>555</v>
      </c>
      <c r="C380">
        <v>1806</v>
      </c>
      <c r="D380">
        <v>123</v>
      </c>
      <c r="E380" t="s">
        <v>11</v>
      </c>
      <c r="F380" t="s">
        <v>1018</v>
      </c>
      <c r="G380" t="s">
        <v>1014</v>
      </c>
      <c r="H380" t="s">
        <v>1019</v>
      </c>
      <c r="I380" t="s">
        <v>992</v>
      </c>
    </row>
    <row r="381" spans="1:9" x14ac:dyDescent="0.25">
      <c r="A381" t="s">
        <v>9</v>
      </c>
      <c r="B381" t="s">
        <v>53</v>
      </c>
      <c r="C381">
        <v>73</v>
      </c>
      <c r="D381">
        <v>123</v>
      </c>
      <c r="E381" t="s">
        <v>11</v>
      </c>
      <c r="F381" t="s">
        <v>1020</v>
      </c>
      <c r="G381" t="s">
        <v>13</v>
      </c>
      <c r="H381" t="s">
        <v>1021</v>
      </c>
      <c r="I381" t="s">
        <v>1022</v>
      </c>
    </row>
    <row r="382" spans="1:9" x14ac:dyDescent="0.25">
      <c r="A382" t="s">
        <v>9</v>
      </c>
      <c r="B382" t="s">
        <v>57</v>
      </c>
      <c r="C382">
        <v>201</v>
      </c>
      <c r="D382">
        <v>128</v>
      </c>
      <c r="E382" t="s">
        <v>11</v>
      </c>
      <c r="F382" t="s">
        <v>1023</v>
      </c>
      <c r="G382" t="s">
        <v>13</v>
      </c>
      <c r="H382" t="s">
        <v>1024</v>
      </c>
      <c r="I382" t="s">
        <v>1022</v>
      </c>
    </row>
    <row r="383" spans="1:9" x14ac:dyDescent="0.25">
      <c r="A383" t="s">
        <v>9</v>
      </c>
      <c r="B383" t="s">
        <v>60</v>
      </c>
      <c r="C383">
        <v>323</v>
      </c>
      <c r="D383">
        <v>122</v>
      </c>
      <c r="E383" t="s">
        <v>11</v>
      </c>
      <c r="F383" t="s">
        <v>1025</v>
      </c>
      <c r="G383" t="s">
        <v>13</v>
      </c>
      <c r="H383" t="s">
        <v>1026</v>
      </c>
      <c r="I383" t="s">
        <v>1022</v>
      </c>
    </row>
    <row r="384" spans="1:9" x14ac:dyDescent="0.25">
      <c r="A384" t="s">
        <v>9</v>
      </c>
      <c r="B384" t="s">
        <v>63</v>
      </c>
      <c r="C384">
        <v>450</v>
      </c>
      <c r="D384">
        <v>127</v>
      </c>
      <c r="E384" t="s">
        <v>11</v>
      </c>
      <c r="F384" t="s">
        <v>1027</v>
      </c>
      <c r="G384" t="s">
        <v>13</v>
      </c>
      <c r="H384" t="s">
        <v>1028</v>
      </c>
      <c r="I384" t="s">
        <v>1022</v>
      </c>
    </row>
    <row r="385" spans="1:9" x14ac:dyDescent="0.25">
      <c r="A385" t="s">
        <v>9</v>
      </c>
      <c r="B385" t="s">
        <v>66</v>
      </c>
      <c r="C385">
        <v>573</v>
      </c>
      <c r="D385">
        <v>123</v>
      </c>
      <c r="E385" t="s">
        <v>11</v>
      </c>
      <c r="F385" t="s">
        <v>1020</v>
      </c>
      <c r="G385" t="s">
        <v>13</v>
      </c>
      <c r="H385" t="s">
        <v>1029</v>
      </c>
      <c r="I385" t="s">
        <v>1022</v>
      </c>
    </row>
    <row r="386" spans="1:9" x14ac:dyDescent="0.25">
      <c r="A386" t="s">
        <v>9</v>
      </c>
      <c r="B386" t="s">
        <v>68</v>
      </c>
      <c r="C386">
        <v>700</v>
      </c>
      <c r="D386">
        <v>127</v>
      </c>
      <c r="E386" t="s">
        <v>11</v>
      </c>
      <c r="F386" t="s">
        <v>1027</v>
      </c>
      <c r="G386" t="s">
        <v>13</v>
      </c>
      <c r="H386" t="s">
        <v>1030</v>
      </c>
      <c r="I386" t="s">
        <v>1022</v>
      </c>
    </row>
    <row r="387" spans="1:9" x14ac:dyDescent="0.25">
      <c r="A387" t="s">
        <v>9</v>
      </c>
      <c r="B387" t="s">
        <v>70</v>
      </c>
      <c r="C387">
        <v>826</v>
      </c>
      <c r="D387">
        <v>126</v>
      </c>
      <c r="E387" t="s">
        <v>11</v>
      </c>
      <c r="F387" t="s">
        <v>1031</v>
      </c>
      <c r="G387" t="s">
        <v>13</v>
      </c>
      <c r="H387" t="s">
        <v>1032</v>
      </c>
      <c r="I387" t="s">
        <v>1022</v>
      </c>
    </row>
    <row r="388" spans="1:9" x14ac:dyDescent="0.25">
      <c r="A388" t="s">
        <v>9</v>
      </c>
      <c r="B388" t="s">
        <v>73</v>
      </c>
      <c r="C388">
        <v>951</v>
      </c>
      <c r="D388">
        <v>125</v>
      </c>
      <c r="E388" t="s">
        <v>11</v>
      </c>
      <c r="F388" t="s">
        <v>1033</v>
      </c>
      <c r="G388" t="s">
        <v>13</v>
      </c>
      <c r="H388" t="s">
        <v>1034</v>
      </c>
      <c r="I388" t="s">
        <v>1022</v>
      </c>
    </row>
    <row r="389" spans="1:9" x14ac:dyDescent="0.25">
      <c r="A389" t="s">
        <v>9</v>
      </c>
      <c r="B389" t="s">
        <v>76</v>
      </c>
      <c r="C389">
        <v>1074</v>
      </c>
      <c r="D389">
        <v>123</v>
      </c>
      <c r="E389" t="s">
        <v>11</v>
      </c>
      <c r="F389" t="s">
        <v>1020</v>
      </c>
      <c r="G389" t="s">
        <v>13</v>
      </c>
      <c r="H389" t="s">
        <v>1035</v>
      </c>
      <c r="I389" t="s">
        <v>1022</v>
      </c>
    </row>
    <row r="390" spans="1:9" x14ac:dyDescent="0.25">
      <c r="A390" t="s">
        <v>9</v>
      </c>
      <c r="B390" t="s">
        <v>79</v>
      </c>
      <c r="C390">
        <v>1200</v>
      </c>
      <c r="D390">
        <v>126</v>
      </c>
      <c r="E390" t="s">
        <v>11</v>
      </c>
      <c r="F390" t="s">
        <v>1031</v>
      </c>
      <c r="G390" t="s">
        <v>13</v>
      </c>
      <c r="H390" t="s">
        <v>1036</v>
      </c>
      <c r="I390" t="s">
        <v>1022</v>
      </c>
    </row>
    <row r="391" spans="1:9" x14ac:dyDescent="0.25">
      <c r="A391" t="s">
        <v>9</v>
      </c>
      <c r="B391" t="s">
        <v>82</v>
      </c>
      <c r="C391">
        <v>1324</v>
      </c>
      <c r="D391">
        <v>124</v>
      </c>
      <c r="E391" t="s">
        <v>11</v>
      </c>
      <c r="F391" t="s">
        <v>1037</v>
      </c>
      <c r="G391" t="s">
        <v>13</v>
      </c>
      <c r="H391" t="s">
        <v>1038</v>
      </c>
      <c r="I391" t="s">
        <v>1022</v>
      </c>
    </row>
    <row r="392" spans="1:9" x14ac:dyDescent="0.25">
      <c r="A392" t="s">
        <v>9</v>
      </c>
      <c r="B392" t="s">
        <v>86</v>
      </c>
      <c r="C392">
        <v>1451</v>
      </c>
      <c r="D392">
        <v>127</v>
      </c>
      <c r="E392" t="s">
        <v>11</v>
      </c>
      <c r="F392" t="s">
        <v>1027</v>
      </c>
      <c r="G392" t="s">
        <v>13</v>
      </c>
      <c r="H392" t="s">
        <v>1039</v>
      </c>
      <c r="I392" t="s">
        <v>1022</v>
      </c>
    </row>
    <row r="393" spans="1:9" x14ac:dyDescent="0.25">
      <c r="A393" t="s">
        <v>35</v>
      </c>
      <c r="B393" t="s">
        <v>89</v>
      </c>
      <c r="C393">
        <v>1573</v>
      </c>
      <c r="D393">
        <v>122</v>
      </c>
      <c r="E393" t="s">
        <v>11</v>
      </c>
      <c r="F393" t="s">
        <v>1025</v>
      </c>
      <c r="G393" t="s">
        <v>1040</v>
      </c>
      <c r="H393" t="s">
        <v>1041</v>
      </c>
      <c r="I393" t="s">
        <v>1022</v>
      </c>
    </row>
    <row r="394" spans="1:9" x14ac:dyDescent="0.25">
      <c r="A394" t="s">
        <v>9</v>
      </c>
      <c r="B394" t="s">
        <v>498</v>
      </c>
      <c r="C394">
        <v>51</v>
      </c>
      <c r="D394">
        <v>120</v>
      </c>
      <c r="E394" t="s">
        <v>11</v>
      </c>
      <c r="F394" t="s">
        <v>1042</v>
      </c>
      <c r="G394" t="s">
        <v>13</v>
      </c>
      <c r="H394" t="s">
        <v>1043</v>
      </c>
      <c r="I394" t="s">
        <v>1044</v>
      </c>
    </row>
    <row r="395" spans="1:9" x14ac:dyDescent="0.25">
      <c r="A395" t="s">
        <v>9</v>
      </c>
      <c r="B395" t="s">
        <v>503</v>
      </c>
      <c r="C395">
        <v>182</v>
      </c>
      <c r="D395">
        <v>131</v>
      </c>
      <c r="E395" t="s">
        <v>11</v>
      </c>
      <c r="F395" t="s">
        <v>1045</v>
      </c>
      <c r="G395" t="s">
        <v>13</v>
      </c>
      <c r="H395" t="s">
        <v>1046</v>
      </c>
      <c r="I395" t="s">
        <v>1044</v>
      </c>
    </row>
    <row r="396" spans="1:9" x14ac:dyDescent="0.25">
      <c r="A396" t="s">
        <v>9</v>
      </c>
      <c r="B396" t="s">
        <v>507</v>
      </c>
      <c r="C396">
        <v>303</v>
      </c>
      <c r="D396">
        <v>121</v>
      </c>
      <c r="E396" t="s">
        <v>11</v>
      </c>
      <c r="F396" t="s">
        <v>1047</v>
      </c>
      <c r="G396" t="s">
        <v>13</v>
      </c>
      <c r="H396" t="s">
        <v>1048</v>
      </c>
      <c r="I396" t="s">
        <v>1044</v>
      </c>
    </row>
    <row r="397" spans="1:9" x14ac:dyDescent="0.25">
      <c r="A397" t="s">
        <v>9</v>
      </c>
      <c r="B397" t="s">
        <v>511</v>
      </c>
      <c r="C397">
        <v>430</v>
      </c>
      <c r="D397">
        <v>127</v>
      </c>
      <c r="E397" t="s">
        <v>11</v>
      </c>
      <c r="F397" t="s">
        <v>1049</v>
      </c>
      <c r="G397" t="s">
        <v>13</v>
      </c>
      <c r="H397" t="s">
        <v>1050</v>
      </c>
      <c r="I397" t="s">
        <v>1044</v>
      </c>
    </row>
    <row r="398" spans="1:9" x14ac:dyDescent="0.25">
      <c r="A398" t="s">
        <v>9</v>
      </c>
      <c r="B398" t="s">
        <v>515</v>
      </c>
      <c r="C398">
        <v>553</v>
      </c>
      <c r="D398">
        <v>123</v>
      </c>
      <c r="E398" t="s">
        <v>11</v>
      </c>
      <c r="F398" t="s">
        <v>1051</v>
      </c>
      <c r="G398" t="s">
        <v>13</v>
      </c>
      <c r="H398" t="s">
        <v>1052</v>
      </c>
      <c r="I398" t="s">
        <v>1044</v>
      </c>
    </row>
    <row r="399" spans="1:9" x14ac:dyDescent="0.25">
      <c r="A399" t="s">
        <v>9</v>
      </c>
      <c r="B399" t="s">
        <v>519</v>
      </c>
      <c r="C399">
        <v>679</v>
      </c>
      <c r="D399">
        <v>126</v>
      </c>
      <c r="E399" t="s">
        <v>11</v>
      </c>
      <c r="F399" t="s">
        <v>1053</v>
      </c>
      <c r="G399" t="s">
        <v>13</v>
      </c>
      <c r="H399" t="s">
        <v>1054</v>
      </c>
      <c r="I399" t="s">
        <v>1044</v>
      </c>
    </row>
    <row r="400" spans="1:9" x14ac:dyDescent="0.25">
      <c r="A400" t="s">
        <v>9</v>
      </c>
      <c r="B400" t="s">
        <v>523</v>
      </c>
      <c r="C400">
        <v>803</v>
      </c>
      <c r="D400">
        <v>124</v>
      </c>
      <c r="E400" t="s">
        <v>11</v>
      </c>
      <c r="F400" t="s">
        <v>1055</v>
      </c>
      <c r="G400" t="s">
        <v>13</v>
      </c>
      <c r="H400" t="s">
        <v>1056</v>
      </c>
      <c r="I400" t="s">
        <v>1044</v>
      </c>
    </row>
    <row r="401" spans="1:9" x14ac:dyDescent="0.25">
      <c r="A401" t="s">
        <v>9</v>
      </c>
      <c r="B401" t="s">
        <v>527</v>
      </c>
      <c r="C401">
        <v>931</v>
      </c>
      <c r="D401">
        <v>128</v>
      </c>
      <c r="E401" t="s">
        <v>11</v>
      </c>
      <c r="F401" t="s">
        <v>1057</v>
      </c>
      <c r="G401" t="s">
        <v>13</v>
      </c>
      <c r="H401" t="s">
        <v>1058</v>
      </c>
      <c r="I401" t="s">
        <v>1044</v>
      </c>
    </row>
    <row r="402" spans="1:9" x14ac:dyDescent="0.25">
      <c r="A402" t="s">
        <v>9</v>
      </c>
      <c r="B402" t="s">
        <v>531</v>
      </c>
      <c r="C402">
        <v>1052</v>
      </c>
      <c r="D402">
        <v>121</v>
      </c>
      <c r="E402" t="s">
        <v>11</v>
      </c>
      <c r="F402" t="s">
        <v>1047</v>
      </c>
      <c r="G402" t="s">
        <v>13</v>
      </c>
      <c r="H402" t="s">
        <v>1059</v>
      </c>
      <c r="I402" t="s">
        <v>1044</v>
      </c>
    </row>
    <row r="403" spans="1:9" x14ac:dyDescent="0.25">
      <c r="A403" t="s">
        <v>9</v>
      </c>
      <c r="B403" t="s">
        <v>535</v>
      </c>
      <c r="C403">
        <v>1180</v>
      </c>
      <c r="D403">
        <v>128</v>
      </c>
      <c r="E403" t="s">
        <v>11</v>
      </c>
      <c r="F403" t="s">
        <v>1057</v>
      </c>
      <c r="G403" t="s">
        <v>13</v>
      </c>
      <c r="H403" t="s">
        <v>1060</v>
      </c>
      <c r="I403" t="s">
        <v>1044</v>
      </c>
    </row>
    <row r="404" spans="1:9" x14ac:dyDescent="0.25">
      <c r="A404" t="s">
        <v>35</v>
      </c>
      <c r="B404" t="s">
        <v>539</v>
      </c>
      <c r="C404">
        <v>1301</v>
      </c>
      <c r="D404">
        <v>121</v>
      </c>
      <c r="E404" t="s">
        <v>11</v>
      </c>
      <c r="F404" t="s">
        <v>1047</v>
      </c>
      <c r="G404" t="s">
        <v>1061</v>
      </c>
      <c r="H404" t="s">
        <v>1062</v>
      </c>
      <c r="I404" t="s">
        <v>1044</v>
      </c>
    </row>
    <row r="405" spans="1:9" x14ac:dyDescent="0.25">
      <c r="A405" t="s">
        <v>9</v>
      </c>
      <c r="B405" t="s">
        <v>543</v>
      </c>
      <c r="C405">
        <v>1432</v>
      </c>
      <c r="D405">
        <v>131</v>
      </c>
      <c r="E405" t="s">
        <v>11</v>
      </c>
      <c r="F405" t="s">
        <v>1063</v>
      </c>
      <c r="G405" t="s">
        <v>13</v>
      </c>
      <c r="H405" t="s">
        <v>1064</v>
      </c>
      <c r="I405" t="s">
        <v>1044</v>
      </c>
    </row>
    <row r="406" spans="1:9" x14ac:dyDescent="0.25">
      <c r="A406" t="s">
        <v>35</v>
      </c>
      <c r="B406" t="s">
        <v>547</v>
      </c>
      <c r="C406">
        <v>1552</v>
      </c>
      <c r="D406">
        <v>120</v>
      </c>
      <c r="E406" t="s">
        <v>11</v>
      </c>
      <c r="F406" t="s">
        <v>1065</v>
      </c>
      <c r="G406" t="s">
        <v>1066</v>
      </c>
      <c r="H406" t="s">
        <v>1067</v>
      </c>
      <c r="I406" t="s">
        <v>1044</v>
      </c>
    </row>
    <row r="407" spans="1:9" x14ac:dyDescent="0.25">
      <c r="A407" t="s">
        <v>9</v>
      </c>
      <c r="B407" t="s">
        <v>551</v>
      </c>
      <c r="C407">
        <v>1683</v>
      </c>
      <c r="D407">
        <v>131</v>
      </c>
      <c r="E407" t="s">
        <v>11</v>
      </c>
      <c r="F407" t="s">
        <v>1068</v>
      </c>
      <c r="G407" t="s">
        <v>13</v>
      </c>
      <c r="H407" t="s">
        <v>1069</v>
      </c>
      <c r="I407" t="s">
        <v>1044</v>
      </c>
    </row>
    <row r="408" spans="1:9" x14ac:dyDescent="0.25">
      <c r="A408" t="s">
        <v>35</v>
      </c>
      <c r="B408" t="s">
        <v>555</v>
      </c>
      <c r="C408">
        <v>1806</v>
      </c>
      <c r="D408">
        <v>123</v>
      </c>
      <c r="E408" t="s">
        <v>11</v>
      </c>
      <c r="F408" t="s">
        <v>1070</v>
      </c>
      <c r="G408" t="s">
        <v>1066</v>
      </c>
      <c r="H408" t="s">
        <v>1071</v>
      </c>
      <c r="I408" t="s">
        <v>1044</v>
      </c>
    </row>
    <row r="409" spans="1:9" x14ac:dyDescent="0.25">
      <c r="A409" t="s">
        <v>9</v>
      </c>
      <c r="B409" t="s">
        <v>53</v>
      </c>
      <c r="C409">
        <v>73</v>
      </c>
      <c r="D409">
        <v>123</v>
      </c>
      <c r="E409" t="s">
        <v>11</v>
      </c>
      <c r="F409" t="s">
        <v>1072</v>
      </c>
      <c r="G409" t="s">
        <v>13</v>
      </c>
      <c r="H409" t="s">
        <v>1073</v>
      </c>
      <c r="I409" t="s">
        <v>1074</v>
      </c>
    </row>
    <row r="410" spans="1:9" x14ac:dyDescent="0.25">
      <c r="A410" t="s">
        <v>9</v>
      </c>
      <c r="B410" t="s">
        <v>57</v>
      </c>
      <c r="C410">
        <v>201</v>
      </c>
      <c r="D410">
        <v>128</v>
      </c>
      <c r="E410" t="s">
        <v>11</v>
      </c>
      <c r="F410" t="s">
        <v>1075</v>
      </c>
      <c r="G410" t="s">
        <v>13</v>
      </c>
      <c r="H410" t="s">
        <v>1076</v>
      </c>
      <c r="I410" t="s">
        <v>1074</v>
      </c>
    </row>
    <row r="411" spans="1:9" x14ac:dyDescent="0.25">
      <c r="A411" t="s">
        <v>9</v>
      </c>
      <c r="B411" t="s">
        <v>60</v>
      </c>
      <c r="C411">
        <v>323</v>
      </c>
      <c r="D411">
        <v>122</v>
      </c>
      <c r="E411" t="s">
        <v>11</v>
      </c>
      <c r="F411" t="s">
        <v>1077</v>
      </c>
      <c r="G411" t="s">
        <v>13</v>
      </c>
      <c r="H411" t="s">
        <v>1078</v>
      </c>
      <c r="I411" t="s">
        <v>1074</v>
      </c>
    </row>
    <row r="412" spans="1:9" x14ac:dyDescent="0.25">
      <c r="A412" t="s">
        <v>9</v>
      </c>
      <c r="B412" t="s">
        <v>63</v>
      </c>
      <c r="C412">
        <v>450</v>
      </c>
      <c r="D412">
        <v>127</v>
      </c>
      <c r="E412" t="s">
        <v>11</v>
      </c>
      <c r="F412" t="s">
        <v>1079</v>
      </c>
      <c r="G412" t="s">
        <v>13</v>
      </c>
      <c r="H412" t="s">
        <v>1080</v>
      </c>
      <c r="I412" t="s">
        <v>1074</v>
      </c>
    </row>
    <row r="413" spans="1:9" x14ac:dyDescent="0.25">
      <c r="A413" t="s">
        <v>9</v>
      </c>
      <c r="B413" t="s">
        <v>66</v>
      </c>
      <c r="C413">
        <v>573</v>
      </c>
      <c r="D413">
        <v>123</v>
      </c>
      <c r="E413" t="s">
        <v>11</v>
      </c>
      <c r="F413" t="s">
        <v>1072</v>
      </c>
      <c r="G413" t="s">
        <v>13</v>
      </c>
      <c r="H413" t="s">
        <v>1081</v>
      </c>
      <c r="I413" t="s">
        <v>1074</v>
      </c>
    </row>
    <row r="414" spans="1:9" x14ac:dyDescent="0.25">
      <c r="A414" t="s">
        <v>9</v>
      </c>
      <c r="B414" t="s">
        <v>68</v>
      </c>
      <c r="C414">
        <v>700</v>
      </c>
      <c r="D414">
        <v>127</v>
      </c>
      <c r="E414" t="s">
        <v>11</v>
      </c>
      <c r="F414" t="s">
        <v>1079</v>
      </c>
      <c r="G414" t="s">
        <v>13</v>
      </c>
      <c r="H414" t="s">
        <v>1082</v>
      </c>
      <c r="I414" t="s">
        <v>1074</v>
      </c>
    </row>
    <row r="415" spans="1:9" x14ac:dyDescent="0.25">
      <c r="A415" t="s">
        <v>9</v>
      </c>
      <c r="B415" t="s">
        <v>70</v>
      </c>
      <c r="C415">
        <v>826</v>
      </c>
      <c r="D415">
        <v>126</v>
      </c>
      <c r="E415" t="s">
        <v>11</v>
      </c>
      <c r="F415" t="s">
        <v>1083</v>
      </c>
      <c r="G415" t="s">
        <v>13</v>
      </c>
      <c r="H415" t="s">
        <v>1084</v>
      </c>
      <c r="I415" t="s">
        <v>1074</v>
      </c>
    </row>
    <row r="416" spans="1:9" x14ac:dyDescent="0.25">
      <c r="A416" t="s">
        <v>9</v>
      </c>
      <c r="B416" t="s">
        <v>73</v>
      </c>
      <c r="C416">
        <v>951</v>
      </c>
      <c r="D416">
        <v>125</v>
      </c>
      <c r="E416" t="s">
        <v>11</v>
      </c>
      <c r="F416" t="s">
        <v>1085</v>
      </c>
      <c r="G416" t="s">
        <v>13</v>
      </c>
      <c r="H416" t="s">
        <v>1086</v>
      </c>
      <c r="I416" t="s">
        <v>1074</v>
      </c>
    </row>
    <row r="417" spans="1:9" x14ac:dyDescent="0.25">
      <c r="A417" t="s">
        <v>9</v>
      </c>
      <c r="B417" t="s">
        <v>76</v>
      </c>
      <c r="C417">
        <v>1074</v>
      </c>
      <c r="D417">
        <v>123</v>
      </c>
      <c r="E417" t="s">
        <v>11</v>
      </c>
      <c r="F417" t="s">
        <v>1072</v>
      </c>
      <c r="G417" t="s">
        <v>13</v>
      </c>
      <c r="H417" t="s">
        <v>1087</v>
      </c>
      <c r="I417" t="s">
        <v>1074</v>
      </c>
    </row>
    <row r="418" spans="1:9" x14ac:dyDescent="0.25">
      <c r="A418" t="s">
        <v>9</v>
      </c>
      <c r="B418" t="s">
        <v>79</v>
      </c>
      <c r="C418">
        <v>1200</v>
      </c>
      <c r="D418">
        <v>126</v>
      </c>
      <c r="E418" t="s">
        <v>11</v>
      </c>
      <c r="F418" t="s">
        <v>1083</v>
      </c>
      <c r="G418" t="s">
        <v>13</v>
      </c>
      <c r="H418" t="s">
        <v>1088</v>
      </c>
      <c r="I418" t="s">
        <v>1074</v>
      </c>
    </row>
    <row r="419" spans="1:9" x14ac:dyDescent="0.25">
      <c r="A419" t="s">
        <v>9</v>
      </c>
      <c r="B419" t="s">
        <v>82</v>
      </c>
      <c r="C419">
        <v>1324</v>
      </c>
      <c r="D419">
        <v>124</v>
      </c>
      <c r="E419" t="s">
        <v>11</v>
      </c>
      <c r="F419" t="s">
        <v>1089</v>
      </c>
      <c r="G419" t="s">
        <v>13</v>
      </c>
      <c r="H419" t="s">
        <v>1090</v>
      </c>
      <c r="I419" t="s">
        <v>1074</v>
      </c>
    </row>
    <row r="420" spans="1:9" x14ac:dyDescent="0.25">
      <c r="A420" t="s">
        <v>9</v>
      </c>
      <c r="B420" t="s">
        <v>86</v>
      </c>
      <c r="C420">
        <v>1451</v>
      </c>
      <c r="D420">
        <v>127</v>
      </c>
      <c r="E420" t="s">
        <v>11</v>
      </c>
      <c r="F420" t="s">
        <v>1079</v>
      </c>
      <c r="G420" t="s">
        <v>13</v>
      </c>
      <c r="H420" t="s">
        <v>1091</v>
      </c>
      <c r="I420" t="s">
        <v>1074</v>
      </c>
    </row>
    <row r="421" spans="1:9" x14ac:dyDescent="0.25">
      <c r="A421" t="s">
        <v>9</v>
      </c>
      <c r="B421" t="s">
        <v>89</v>
      </c>
      <c r="C421">
        <v>1573</v>
      </c>
      <c r="D421">
        <v>122</v>
      </c>
      <c r="E421" t="s">
        <v>11</v>
      </c>
      <c r="F421" t="s">
        <v>1077</v>
      </c>
      <c r="G421" t="s">
        <v>13</v>
      </c>
      <c r="H421" t="s">
        <v>1092</v>
      </c>
      <c r="I421" t="s">
        <v>1074</v>
      </c>
    </row>
    <row r="422" spans="1:9" x14ac:dyDescent="0.25">
      <c r="A422" t="s">
        <v>9</v>
      </c>
      <c r="B422" t="s">
        <v>1093</v>
      </c>
      <c r="C422">
        <v>1702</v>
      </c>
      <c r="D422">
        <v>129</v>
      </c>
      <c r="E422" t="s">
        <v>11</v>
      </c>
      <c r="F422" t="s">
        <v>1094</v>
      </c>
      <c r="G422" t="s">
        <v>13</v>
      </c>
      <c r="H422" t="s">
        <v>1095</v>
      </c>
      <c r="I422" t="s">
        <v>1074</v>
      </c>
    </row>
    <row r="423" spans="1:9" x14ac:dyDescent="0.25">
      <c r="A423" t="s">
        <v>9</v>
      </c>
      <c r="B423" t="s">
        <v>462</v>
      </c>
      <c r="C423">
        <v>1826</v>
      </c>
      <c r="D423">
        <v>124</v>
      </c>
      <c r="E423" t="s">
        <v>11</v>
      </c>
      <c r="F423" t="s">
        <v>1089</v>
      </c>
      <c r="G423" t="s">
        <v>13</v>
      </c>
      <c r="H423" t="s">
        <v>1096</v>
      </c>
      <c r="I423" t="s">
        <v>1074</v>
      </c>
    </row>
    <row r="424" spans="1:9" x14ac:dyDescent="0.25">
      <c r="A424" t="s">
        <v>9</v>
      </c>
      <c r="B424" t="s">
        <v>1097</v>
      </c>
      <c r="C424">
        <v>1953</v>
      </c>
      <c r="D424">
        <v>127</v>
      </c>
      <c r="E424" t="s">
        <v>11</v>
      </c>
      <c r="F424" t="s">
        <v>1079</v>
      </c>
      <c r="G424" t="s">
        <v>13</v>
      </c>
      <c r="H424" t="s">
        <v>1098</v>
      </c>
      <c r="I424" t="s">
        <v>1074</v>
      </c>
    </row>
    <row r="425" spans="1:9" x14ac:dyDescent="0.25">
      <c r="A425" t="s">
        <v>9</v>
      </c>
      <c r="B425" t="s">
        <v>466</v>
      </c>
      <c r="C425">
        <v>2079</v>
      </c>
      <c r="D425">
        <v>126</v>
      </c>
      <c r="E425" t="s">
        <v>11</v>
      </c>
      <c r="F425" t="s">
        <v>1083</v>
      </c>
      <c r="G425" t="s">
        <v>13</v>
      </c>
      <c r="H425" t="s">
        <v>1099</v>
      </c>
      <c r="I425" t="s">
        <v>1074</v>
      </c>
    </row>
    <row r="426" spans="1:9" x14ac:dyDescent="0.25">
      <c r="A426" t="s">
        <v>9</v>
      </c>
      <c r="B426" t="s">
        <v>1100</v>
      </c>
      <c r="C426">
        <v>2205</v>
      </c>
      <c r="D426">
        <v>126</v>
      </c>
      <c r="E426" t="s">
        <v>11</v>
      </c>
      <c r="F426" t="s">
        <v>1083</v>
      </c>
      <c r="G426" t="s">
        <v>13</v>
      </c>
      <c r="H426" t="s">
        <v>1101</v>
      </c>
      <c r="I426" t="s">
        <v>1074</v>
      </c>
    </row>
    <row r="427" spans="1:9" x14ac:dyDescent="0.25">
      <c r="A427" t="s">
        <v>35</v>
      </c>
      <c r="B427" t="s">
        <v>1102</v>
      </c>
      <c r="C427">
        <v>2329</v>
      </c>
      <c r="D427">
        <v>124</v>
      </c>
      <c r="E427" t="s">
        <v>11</v>
      </c>
      <c r="F427" t="s">
        <v>1089</v>
      </c>
      <c r="G427" t="s">
        <v>1103</v>
      </c>
      <c r="H427" t="s">
        <v>1104</v>
      </c>
      <c r="I427" t="s">
        <v>1074</v>
      </c>
    </row>
    <row r="428" spans="1:9" x14ac:dyDescent="0.25">
      <c r="A428" t="s">
        <v>35</v>
      </c>
      <c r="B428" t="s">
        <v>1105</v>
      </c>
      <c r="C428">
        <v>2455</v>
      </c>
      <c r="D428">
        <v>126</v>
      </c>
      <c r="E428" t="s">
        <v>11</v>
      </c>
      <c r="F428" t="s">
        <v>1106</v>
      </c>
      <c r="G428" t="s">
        <v>1103</v>
      </c>
      <c r="H428" t="s">
        <v>1107</v>
      </c>
      <c r="I428" t="s">
        <v>1074</v>
      </c>
    </row>
    <row r="429" spans="1:9" x14ac:dyDescent="0.25">
      <c r="A429" t="s">
        <v>35</v>
      </c>
      <c r="B429" t="s">
        <v>1108</v>
      </c>
      <c r="C429">
        <v>2578</v>
      </c>
      <c r="D429">
        <v>123</v>
      </c>
      <c r="E429" t="s">
        <v>11</v>
      </c>
      <c r="F429" t="s">
        <v>1109</v>
      </c>
      <c r="G429" t="s">
        <v>1110</v>
      </c>
      <c r="H429" t="s">
        <v>1111</v>
      </c>
      <c r="I429" t="s">
        <v>1074</v>
      </c>
    </row>
    <row r="430" spans="1:9" x14ac:dyDescent="0.25">
      <c r="A430" t="s">
        <v>35</v>
      </c>
      <c r="B430" t="s">
        <v>1112</v>
      </c>
      <c r="C430">
        <v>2704</v>
      </c>
      <c r="D430">
        <v>126</v>
      </c>
      <c r="E430" t="s">
        <v>11</v>
      </c>
      <c r="F430" t="s">
        <v>1113</v>
      </c>
      <c r="G430" t="s">
        <v>1114</v>
      </c>
      <c r="H430" t="s">
        <v>1115</v>
      </c>
      <c r="I430" t="s">
        <v>1074</v>
      </c>
    </row>
    <row r="431" spans="1:9" x14ac:dyDescent="0.25">
      <c r="A431" t="s">
        <v>35</v>
      </c>
      <c r="B431" t="s">
        <v>1116</v>
      </c>
      <c r="C431">
        <v>2826</v>
      </c>
      <c r="D431">
        <v>122</v>
      </c>
      <c r="E431" t="s">
        <v>11</v>
      </c>
      <c r="F431" t="s">
        <v>1117</v>
      </c>
      <c r="G431" t="s">
        <v>1114</v>
      </c>
      <c r="H431" t="s">
        <v>1118</v>
      </c>
      <c r="I431" t="s">
        <v>1074</v>
      </c>
    </row>
    <row r="432" spans="1:9" x14ac:dyDescent="0.25">
      <c r="A432" t="s">
        <v>9</v>
      </c>
      <c r="B432" t="s">
        <v>10</v>
      </c>
      <c r="C432">
        <v>11</v>
      </c>
      <c r="D432">
        <v>124</v>
      </c>
      <c r="E432" t="s">
        <v>11</v>
      </c>
      <c r="F432" t="s">
        <v>1119</v>
      </c>
      <c r="G432" t="s">
        <v>13</v>
      </c>
      <c r="H432" t="s">
        <v>1120</v>
      </c>
      <c r="I432" t="s">
        <v>1121</v>
      </c>
    </row>
    <row r="433" spans="1:9" x14ac:dyDescent="0.25">
      <c r="A433" t="s">
        <v>9</v>
      </c>
      <c r="B433" t="s">
        <v>16</v>
      </c>
      <c r="C433">
        <v>137</v>
      </c>
      <c r="D433">
        <v>126</v>
      </c>
      <c r="E433" t="s">
        <v>11</v>
      </c>
      <c r="F433" t="s">
        <v>1122</v>
      </c>
      <c r="G433" t="s">
        <v>13</v>
      </c>
      <c r="H433" t="s">
        <v>1123</v>
      </c>
      <c r="I433" t="s">
        <v>1121</v>
      </c>
    </row>
    <row r="434" spans="1:9" x14ac:dyDescent="0.25">
      <c r="A434" t="s">
        <v>9</v>
      </c>
      <c r="B434" t="s">
        <v>19</v>
      </c>
      <c r="C434">
        <v>262</v>
      </c>
      <c r="D434">
        <v>125</v>
      </c>
      <c r="E434" t="s">
        <v>11</v>
      </c>
      <c r="F434" t="s">
        <v>1124</v>
      </c>
      <c r="G434" t="s">
        <v>13</v>
      </c>
      <c r="H434" t="s">
        <v>1125</v>
      </c>
      <c r="I434" t="s">
        <v>1121</v>
      </c>
    </row>
    <row r="435" spans="1:9" x14ac:dyDescent="0.25">
      <c r="A435" t="s">
        <v>35</v>
      </c>
      <c r="B435" t="s">
        <v>22</v>
      </c>
      <c r="C435">
        <v>388</v>
      </c>
      <c r="D435">
        <v>126</v>
      </c>
      <c r="E435" t="s">
        <v>11</v>
      </c>
      <c r="F435" t="s">
        <v>1122</v>
      </c>
      <c r="G435" t="s">
        <v>1126</v>
      </c>
      <c r="H435" t="s">
        <v>1127</v>
      </c>
      <c r="I435" t="s">
        <v>1121</v>
      </c>
    </row>
    <row r="436" spans="1:9" x14ac:dyDescent="0.25">
      <c r="A436" t="s">
        <v>35</v>
      </c>
      <c r="B436" t="s">
        <v>24</v>
      </c>
      <c r="C436">
        <v>510</v>
      </c>
      <c r="D436">
        <v>122</v>
      </c>
      <c r="E436" t="s">
        <v>11</v>
      </c>
      <c r="F436" t="s">
        <v>1128</v>
      </c>
      <c r="G436" t="s">
        <v>1129</v>
      </c>
      <c r="H436" t="s">
        <v>1130</v>
      </c>
      <c r="I436" t="s">
        <v>1121</v>
      </c>
    </row>
    <row r="437" spans="1:9" x14ac:dyDescent="0.25">
      <c r="A437" t="s">
        <v>35</v>
      </c>
      <c r="B437" t="s">
        <v>27</v>
      </c>
      <c r="C437">
        <v>638</v>
      </c>
      <c r="D437">
        <v>128</v>
      </c>
      <c r="E437" t="s">
        <v>11</v>
      </c>
      <c r="F437" t="s">
        <v>1131</v>
      </c>
      <c r="G437" t="s">
        <v>1129</v>
      </c>
      <c r="H437" t="s">
        <v>1132</v>
      </c>
      <c r="I437" t="s">
        <v>1121</v>
      </c>
    </row>
    <row r="438" spans="1:9" x14ac:dyDescent="0.25">
      <c r="A438" t="s">
        <v>35</v>
      </c>
      <c r="B438" t="s">
        <v>30</v>
      </c>
      <c r="C438">
        <v>763</v>
      </c>
      <c r="D438">
        <v>125</v>
      </c>
      <c r="E438" t="s">
        <v>11</v>
      </c>
      <c r="F438" t="s">
        <v>1133</v>
      </c>
      <c r="G438" t="s">
        <v>1134</v>
      </c>
      <c r="H438" t="s">
        <v>1135</v>
      </c>
      <c r="I438" t="s">
        <v>1121</v>
      </c>
    </row>
    <row r="439" spans="1:9" x14ac:dyDescent="0.25">
      <c r="A439" t="s">
        <v>35</v>
      </c>
      <c r="B439" t="s">
        <v>32</v>
      </c>
      <c r="C439">
        <v>890</v>
      </c>
      <c r="D439">
        <v>127</v>
      </c>
      <c r="E439" t="s">
        <v>11</v>
      </c>
      <c r="F439" t="s">
        <v>1136</v>
      </c>
      <c r="G439" t="s">
        <v>1137</v>
      </c>
      <c r="H439" t="s">
        <v>1138</v>
      </c>
      <c r="I439" t="s">
        <v>1121</v>
      </c>
    </row>
    <row r="440" spans="1:9" x14ac:dyDescent="0.25">
      <c r="A440" t="s">
        <v>35</v>
      </c>
      <c r="B440" t="s">
        <v>36</v>
      </c>
      <c r="C440">
        <v>1011</v>
      </c>
      <c r="D440">
        <v>121</v>
      </c>
      <c r="E440" t="s">
        <v>11</v>
      </c>
      <c r="F440" t="s">
        <v>1139</v>
      </c>
      <c r="G440" t="s">
        <v>1140</v>
      </c>
      <c r="H440" t="s">
        <v>1141</v>
      </c>
      <c r="I440" t="s">
        <v>1121</v>
      </c>
    </row>
    <row r="441" spans="1:9" x14ac:dyDescent="0.25">
      <c r="A441" t="s">
        <v>9</v>
      </c>
      <c r="B441" t="s">
        <v>134</v>
      </c>
      <c r="C441">
        <v>32</v>
      </c>
      <c r="D441">
        <v>124</v>
      </c>
      <c r="E441" t="s">
        <v>11</v>
      </c>
      <c r="F441" t="s">
        <v>1142</v>
      </c>
      <c r="G441" t="s">
        <v>13</v>
      </c>
      <c r="H441" t="s">
        <v>1143</v>
      </c>
      <c r="I441" t="s">
        <v>1144</v>
      </c>
    </row>
    <row r="442" spans="1:9" x14ac:dyDescent="0.25">
      <c r="A442" t="s">
        <v>9</v>
      </c>
      <c r="B442" t="s">
        <v>138</v>
      </c>
      <c r="C442">
        <v>159</v>
      </c>
      <c r="D442">
        <v>127</v>
      </c>
      <c r="E442" t="s">
        <v>11</v>
      </c>
      <c r="F442" t="s">
        <v>1145</v>
      </c>
      <c r="G442" t="s">
        <v>13</v>
      </c>
      <c r="H442" t="s">
        <v>1146</v>
      </c>
      <c r="I442" t="s">
        <v>1144</v>
      </c>
    </row>
    <row r="443" spans="1:9" x14ac:dyDescent="0.25">
      <c r="A443" t="s">
        <v>9</v>
      </c>
      <c r="B443" t="s">
        <v>141</v>
      </c>
      <c r="C443">
        <v>283</v>
      </c>
      <c r="D443">
        <v>124</v>
      </c>
      <c r="E443" t="s">
        <v>11</v>
      </c>
      <c r="F443" t="s">
        <v>1142</v>
      </c>
      <c r="G443" t="s">
        <v>13</v>
      </c>
      <c r="H443" t="s">
        <v>1147</v>
      </c>
      <c r="I443" t="s">
        <v>1144</v>
      </c>
    </row>
    <row r="444" spans="1:9" x14ac:dyDescent="0.25">
      <c r="A444" t="s">
        <v>9</v>
      </c>
      <c r="B444" t="s">
        <v>144</v>
      </c>
      <c r="C444">
        <v>409</v>
      </c>
      <c r="D444">
        <v>126</v>
      </c>
      <c r="E444" t="s">
        <v>11</v>
      </c>
      <c r="F444" t="s">
        <v>1148</v>
      </c>
      <c r="G444" t="s">
        <v>13</v>
      </c>
      <c r="H444" t="s">
        <v>1149</v>
      </c>
      <c r="I444" t="s">
        <v>1144</v>
      </c>
    </row>
    <row r="445" spans="1:9" x14ac:dyDescent="0.25">
      <c r="A445" t="s">
        <v>9</v>
      </c>
      <c r="B445" t="s">
        <v>147</v>
      </c>
      <c r="C445">
        <v>532</v>
      </c>
      <c r="D445">
        <v>123</v>
      </c>
      <c r="E445" t="s">
        <v>11</v>
      </c>
      <c r="F445" t="s">
        <v>1150</v>
      </c>
      <c r="G445" t="s">
        <v>13</v>
      </c>
      <c r="H445" t="s">
        <v>1151</v>
      </c>
      <c r="I445" t="s">
        <v>1144</v>
      </c>
    </row>
    <row r="446" spans="1:9" x14ac:dyDescent="0.25">
      <c r="A446" t="s">
        <v>9</v>
      </c>
      <c r="B446" t="s">
        <v>150</v>
      </c>
      <c r="C446">
        <v>659</v>
      </c>
      <c r="D446">
        <v>127</v>
      </c>
      <c r="E446" t="s">
        <v>11</v>
      </c>
      <c r="F446" t="s">
        <v>1145</v>
      </c>
      <c r="G446" t="s">
        <v>13</v>
      </c>
      <c r="H446" t="s">
        <v>1152</v>
      </c>
      <c r="I446" t="s">
        <v>1144</v>
      </c>
    </row>
    <row r="447" spans="1:9" x14ac:dyDescent="0.25">
      <c r="A447" t="s">
        <v>9</v>
      </c>
      <c r="B447" t="s">
        <v>152</v>
      </c>
      <c r="C447">
        <v>785</v>
      </c>
      <c r="D447">
        <v>126</v>
      </c>
      <c r="E447" t="s">
        <v>11</v>
      </c>
      <c r="F447" t="s">
        <v>1148</v>
      </c>
      <c r="G447" t="s">
        <v>13</v>
      </c>
      <c r="H447" t="s">
        <v>1153</v>
      </c>
      <c r="I447" t="s">
        <v>1144</v>
      </c>
    </row>
    <row r="448" spans="1:9" x14ac:dyDescent="0.25">
      <c r="A448" t="s">
        <v>9</v>
      </c>
      <c r="B448" t="s">
        <v>154</v>
      </c>
      <c r="C448">
        <v>910</v>
      </c>
      <c r="D448">
        <v>125</v>
      </c>
      <c r="E448" t="s">
        <v>11</v>
      </c>
      <c r="F448" t="s">
        <v>1154</v>
      </c>
      <c r="G448" t="s">
        <v>13</v>
      </c>
      <c r="H448" t="s">
        <v>1155</v>
      </c>
      <c r="I448" t="s">
        <v>1144</v>
      </c>
    </row>
    <row r="449" spans="1:9" x14ac:dyDescent="0.25">
      <c r="A449" t="s">
        <v>9</v>
      </c>
      <c r="B449" t="s">
        <v>157</v>
      </c>
      <c r="C449">
        <v>1032</v>
      </c>
      <c r="D449">
        <v>122</v>
      </c>
      <c r="E449" t="s">
        <v>11</v>
      </c>
      <c r="F449" t="s">
        <v>1156</v>
      </c>
      <c r="G449" t="s">
        <v>13</v>
      </c>
      <c r="H449" t="s">
        <v>1157</v>
      </c>
      <c r="I449" t="s">
        <v>1144</v>
      </c>
    </row>
    <row r="450" spans="1:9" x14ac:dyDescent="0.25">
      <c r="A450" t="s">
        <v>35</v>
      </c>
      <c r="B450" t="s">
        <v>160</v>
      </c>
      <c r="C450">
        <v>1158</v>
      </c>
      <c r="D450">
        <v>126</v>
      </c>
      <c r="E450" t="s">
        <v>11</v>
      </c>
      <c r="F450" t="s">
        <v>1148</v>
      </c>
      <c r="G450" t="s">
        <v>884</v>
      </c>
      <c r="H450" t="s">
        <v>1158</v>
      </c>
      <c r="I450" t="s">
        <v>1144</v>
      </c>
    </row>
    <row r="451" spans="1:9" x14ac:dyDescent="0.25">
      <c r="A451" t="s">
        <v>9</v>
      </c>
      <c r="B451" t="s">
        <v>162</v>
      </c>
      <c r="C451">
        <v>1281</v>
      </c>
      <c r="D451">
        <v>123</v>
      </c>
      <c r="E451" t="s">
        <v>11</v>
      </c>
      <c r="F451" t="s">
        <v>1159</v>
      </c>
      <c r="G451" t="s">
        <v>13</v>
      </c>
      <c r="H451" t="s">
        <v>1160</v>
      </c>
      <c r="I451" t="s">
        <v>1144</v>
      </c>
    </row>
    <row r="452" spans="1:9" x14ac:dyDescent="0.25">
      <c r="A452" t="s">
        <v>35</v>
      </c>
      <c r="B452" t="s">
        <v>164</v>
      </c>
      <c r="C452">
        <v>1409</v>
      </c>
      <c r="D452">
        <v>128</v>
      </c>
      <c r="E452" t="s">
        <v>11</v>
      </c>
      <c r="F452" t="s">
        <v>1161</v>
      </c>
      <c r="G452" t="s">
        <v>889</v>
      </c>
      <c r="H452" t="s">
        <v>1162</v>
      </c>
      <c r="I452" t="s">
        <v>1144</v>
      </c>
    </row>
    <row r="453" spans="1:9" x14ac:dyDescent="0.25">
      <c r="A453" t="s">
        <v>9</v>
      </c>
      <c r="B453" t="s">
        <v>167</v>
      </c>
      <c r="C453">
        <v>1532</v>
      </c>
      <c r="D453">
        <v>123</v>
      </c>
      <c r="E453" t="s">
        <v>11</v>
      </c>
      <c r="F453" t="s">
        <v>1163</v>
      </c>
      <c r="G453" t="s">
        <v>13</v>
      </c>
      <c r="H453" t="s">
        <v>1164</v>
      </c>
      <c r="I453" t="s">
        <v>1144</v>
      </c>
    </row>
    <row r="454" spans="1:9" x14ac:dyDescent="0.25">
      <c r="A454" t="s">
        <v>35</v>
      </c>
      <c r="B454" t="s">
        <v>169</v>
      </c>
      <c r="C454">
        <v>1660</v>
      </c>
      <c r="D454">
        <v>128</v>
      </c>
      <c r="E454" t="s">
        <v>11</v>
      </c>
      <c r="F454" t="s">
        <v>1165</v>
      </c>
      <c r="G454" t="s">
        <v>889</v>
      </c>
      <c r="H454" t="s">
        <v>1166</v>
      </c>
      <c r="I454" t="s">
        <v>1144</v>
      </c>
    </row>
    <row r="455" spans="1:9" x14ac:dyDescent="0.25">
      <c r="A455" t="s">
        <v>9</v>
      </c>
      <c r="B455" t="s">
        <v>53</v>
      </c>
      <c r="C455">
        <v>73</v>
      </c>
      <c r="D455">
        <v>73</v>
      </c>
      <c r="E455" t="s">
        <v>11</v>
      </c>
      <c r="F455" t="s">
        <v>1167</v>
      </c>
      <c r="G455" t="s">
        <v>13</v>
      </c>
      <c r="H455" t="s">
        <v>1168</v>
      </c>
      <c r="I455" t="s">
        <v>1169</v>
      </c>
    </row>
    <row r="456" spans="1:9" x14ac:dyDescent="0.25">
      <c r="A456" t="s">
        <v>9</v>
      </c>
      <c r="B456" t="s">
        <v>57</v>
      </c>
      <c r="C456">
        <v>201</v>
      </c>
      <c r="D456">
        <v>128</v>
      </c>
      <c r="E456" t="s">
        <v>11</v>
      </c>
      <c r="F456" t="s">
        <v>1170</v>
      </c>
      <c r="G456" t="s">
        <v>13</v>
      </c>
      <c r="H456" t="s">
        <v>1171</v>
      </c>
      <c r="I456" t="s">
        <v>1169</v>
      </c>
    </row>
    <row r="457" spans="1:9" x14ac:dyDescent="0.25">
      <c r="A457" t="s">
        <v>9</v>
      </c>
      <c r="B457" t="s">
        <v>60</v>
      </c>
      <c r="C457">
        <v>323</v>
      </c>
      <c r="D457">
        <v>122</v>
      </c>
      <c r="E457" t="s">
        <v>11</v>
      </c>
      <c r="F457" t="s">
        <v>1172</v>
      </c>
      <c r="G457" t="s">
        <v>13</v>
      </c>
      <c r="H457" t="s">
        <v>1173</v>
      </c>
      <c r="I457" t="s">
        <v>1169</v>
      </c>
    </row>
    <row r="458" spans="1:9" x14ac:dyDescent="0.25">
      <c r="A458" t="s">
        <v>9</v>
      </c>
      <c r="B458" t="s">
        <v>63</v>
      </c>
      <c r="C458">
        <v>450</v>
      </c>
      <c r="D458">
        <v>127</v>
      </c>
      <c r="E458" t="s">
        <v>11</v>
      </c>
      <c r="F458" t="s">
        <v>1174</v>
      </c>
      <c r="G458" t="s">
        <v>13</v>
      </c>
      <c r="H458" t="s">
        <v>1175</v>
      </c>
      <c r="I458" t="s">
        <v>1169</v>
      </c>
    </row>
    <row r="459" spans="1:9" x14ac:dyDescent="0.25">
      <c r="A459" t="s">
        <v>9</v>
      </c>
      <c r="B459" t="s">
        <v>66</v>
      </c>
      <c r="C459">
        <v>573</v>
      </c>
      <c r="D459">
        <v>123</v>
      </c>
      <c r="E459" t="s">
        <v>11</v>
      </c>
      <c r="F459" t="s">
        <v>1176</v>
      </c>
      <c r="G459" t="s">
        <v>13</v>
      </c>
      <c r="H459" t="s">
        <v>1177</v>
      </c>
      <c r="I459" t="s">
        <v>1169</v>
      </c>
    </row>
    <row r="460" spans="1:9" x14ac:dyDescent="0.25">
      <c r="A460" t="s">
        <v>9</v>
      </c>
      <c r="B460" t="s">
        <v>68</v>
      </c>
      <c r="C460">
        <v>700</v>
      </c>
      <c r="D460">
        <v>127</v>
      </c>
      <c r="E460" t="s">
        <v>11</v>
      </c>
      <c r="F460" t="s">
        <v>1174</v>
      </c>
      <c r="G460" t="s">
        <v>13</v>
      </c>
      <c r="H460" t="s">
        <v>1178</v>
      </c>
      <c r="I460" t="s">
        <v>1169</v>
      </c>
    </row>
    <row r="461" spans="1:9" x14ac:dyDescent="0.25">
      <c r="A461" t="s">
        <v>9</v>
      </c>
      <c r="B461" t="s">
        <v>70</v>
      </c>
      <c r="C461">
        <v>826</v>
      </c>
      <c r="D461">
        <v>126</v>
      </c>
      <c r="E461" t="s">
        <v>11</v>
      </c>
      <c r="F461" t="s">
        <v>1179</v>
      </c>
      <c r="G461" t="s">
        <v>13</v>
      </c>
      <c r="H461" t="s">
        <v>1180</v>
      </c>
      <c r="I461" t="s">
        <v>1169</v>
      </c>
    </row>
    <row r="462" spans="1:9" x14ac:dyDescent="0.25">
      <c r="A462" t="s">
        <v>9</v>
      </c>
      <c r="B462" t="s">
        <v>73</v>
      </c>
      <c r="C462">
        <v>951</v>
      </c>
      <c r="D462">
        <v>125</v>
      </c>
      <c r="E462" t="s">
        <v>11</v>
      </c>
      <c r="F462" t="s">
        <v>1181</v>
      </c>
      <c r="G462" t="s">
        <v>13</v>
      </c>
      <c r="H462" t="s">
        <v>1182</v>
      </c>
      <c r="I462" t="s">
        <v>1169</v>
      </c>
    </row>
    <row r="463" spans="1:9" x14ac:dyDescent="0.25">
      <c r="A463" t="s">
        <v>9</v>
      </c>
      <c r="B463" t="s">
        <v>76</v>
      </c>
      <c r="C463">
        <v>1074</v>
      </c>
      <c r="D463">
        <v>123</v>
      </c>
      <c r="E463" t="s">
        <v>11</v>
      </c>
      <c r="F463" t="s">
        <v>1176</v>
      </c>
      <c r="G463" t="s">
        <v>13</v>
      </c>
      <c r="H463" t="s">
        <v>1183</v>
      </c>
      <c r="I463" t="s">
        <v>1169</v>
      </c>
    </row>
    <row r="464" spans="1:9" x14ac:dyDescent="0.25">
      <c r="A464" t="s">
        <v>9</v>
      </c>
      <c r="B464" t="s">
        <v>79</v>
      </c>
      <c r="C464">
        <v>1200</v>
      </c>
      <c r="D464">
        <v>126</v>
      </c>
      <c r="E464" t="s">
        <v>11</v>
      </c>
      <c r="F464" t="s">
        <v>1179</v>
      </c>
      <c r="G464" t="s">
        <v>13</v>
      </c>
      <c r="H464" t="s">
        <v>1184</v>
      </c>
      <c r="I464" t="s">
        <v>1169</v>
      </c>
    </row>
    <row r="465" spans="1:9" x14ac:dyDescent="0.25">
      <c r="A465" t="s">
        <v>9</v>
      </c>
      <c r="B465" t="s">
        <v>82</v>
      </c>
      <c r="C465">
        <v>1324</v>
      </c>
      <c r="D465">
        <v>124</v>
      </c>
      <c r="E465" t="s">
        <v>11</v>
      </c>
      <c r="F465" t="s">
        <v>1185</v>
      </c>
      <c r="G465" t="s">
        <v>13</v>
      </c>
      <c r="H465" t="s">
        <v>1186</v>
      </c>
      <c r="I465" t="s">
        <v>1169</v>
      </c>
    </row>
    <row r="466" spans="1:9" x14ac:dyDescent="0.25">
      <c r="A466" t="s">
        <v>9</v>
      </c>
      <c r="B466" t="s">
        <v>86</v>
      </c>
      <c r="C466">
        <v>1451</v>
      </c>
      <c r="D466">
        <v>127</v>
      </c>
      <c r="E466" t="s">
        <v>11</v>
      </c>
      <c r="F466" t="s">
        <v>1174</v>
      </c>
      <c r="G466" t="s">
        <v>13</v>
      </c>
      <c r="H466" t="s">
        <v>1187</v>
      </c>
      <c r="I466" t="s">
        <v>1169</v>
      </c>
    </row>
    <row r="467" spans="1:9" x14ac:dyDescent="0.25">
      <c r="A467" t="s">
        <v>9</v>
      </c>
      <c r="B467" t="s">
        <v>89</v>
      </c>
      <c r="C467">
        <v>1573</v>
      </c>
      <c r="D467">
        <v>122</v>
      </c>
      <c r="E467" t="s">
        <v>11</v>
      </c>
      <c r="F467" t="s">
        <v>1172</v>
      </c>
      <c r="G467" t="s">
        <v>13</v>
      </c>
      <c r="H467" t="s">
        <v>1188</v>
      </c>
      <c r="I467" t="s">
        <v>1169</v>
      </c>
    </row>
    <row r="468" spans="1:9" x14ac:dyDescent="0.25">
      <c r="A468" t="s">
        <v>9</v>
      </c>
      <c r="B468" t="s">
        <v>1093</v>
      </c>
      <c r="C468">
        <v>1702</v>
      </c>
      <c r="D468">
        <v>129</v>
      </c>
      <c r="E468" t="s">
        <v>11</v>
      </c>
      <c r="F468" t="s">
        <v>1189</v>
      </c>
      <c r="G468" t="s">
        <v>13</v>
      </c>
      <c r="H468" t="s">
        <v>1190</v>
      </c>
      <c r="I468" t="s">
        <v>1169</v>
      </c>
    </row>
    <row r="469" spans="1:9" x14ac:dyDescent="0.25">
      <c r="A469" t="s">
        <v>9</v>
      </c>
      <c r="B469" t="s">
        <v>462</v>
      </c>
      <c r="C469">
        <v>1826</v>
      </c>
      <c r="D469">
        <v>124</v>
      </c>
      <c r="E469" t="s">
        <v>11</v>
      </c>
      <c r="F469" t="s">
        <v>1185</v>
      </c>
      <c r="G469" t="s">
        <v>13</v>
      </c>
      <c r="H469" t="s">
        <v>1191</v>
      </c>
      <c r="I469" t="s">
        <v>1169</v>
      </c>
    </row>
    <row r="470" spans="1:9" x14ac:dyDescent="0.25">
      <c r="A470" t="s">
        <v>9</v>
      </c>
      <c r="B470" t="s">
        <v>1097</v>
      </c>
      <c r="C470">
        <v>1953</v>
      </c>
      <c r="D470">
        <v>127</v>
      </c>
      <c r="E470" t="s">
        <v>11</v>
      </c>
      <c r="F470" t="s">
        <v>1174</v>
      </c>
      <c r="G470" t="s">
        <v>13</v>
      </c>
      <c r="H470" t="s">
        <v>1192</v>
      </c>
      <c r="I470" t="s">
        <v>1169</v>
      </c>
    </row>
    <row r="471" spans="1:9" x14ac:dyDescent="0.25">
      <c r="A471" t="s">
        <v>9</v>
      </c>
      <c r="B471" t="s">
        <v>466</v>
      </c>
      <c r="C471">
        <v>2079</v>
      </c>
      <c r="D471">
        <v>126</v>
      </c>
      <c r="E471" t="s">
        <v>11</v>
      </c>
      <c r="F471" t="s">
        <v>1179</v>
      </c>
      <c r="G471" t="s">
        <v>13</v>
      </c>
      <c r="H471" t="s">
        <v>1193</v>
      </c>
      <c r="I471" t="s">
        <v>1169</v>
      </c>
    </row>
    <row r="472" spans="1:9" x14ac:dyDescent="0.25">
      <c r="A472" t="s">
        <v>35</v>
      </c>
      <c r="B472" t="s">
        <v>1100</v>
      </c>
      <c r="C472">
        <v>2205</v>
      </c>
      <c r="D472">
        <v>126</v>
      </c>
      <c r="E472" t="s">
        <v>11</v>
      </c>
      <c r="F472" t="s">
        <v>1179</v>
      </c>
      <c r="G472" t="s">
        <v>1194</v>
      </c>
      <c r="H472" t="s">
        <v>1195</v>
      </c>
      <c r="I472" t="s">
        <v>1169</v>
      </c>
    </row>
    <row r="473" spans="1:9" x14ac:dyDescent="0.25">
      <c r="A473" t="s">
        <v>9</v>
      </c>
      <c r="B473" t="s">
        <v>1102</v>
      </c>
      <c r="C473">
        <v>2329</v>
      </c>
      <c r="D473">
        <v>124</v>
      </c>
      <c r="E473" t="s">
        <v>11</v>
      </c>
      <c r="F473" t="s">
        <v>1196</v>
      </c>
      <c r="G473" t="s">
        <v>13</v>
      </c>
      <c r="H473" t="s">
        <v>1197</v>
      </c>
      <c r="I473" t="s">
        <v>1169</v>
      </c>
    </row>
    <row r="474" spans="1:9" x14ac:dyDescent="0.25">
      <c r="A474" t="s">
        <v>35</v>
      </c>
      <c r="B474" t="s">
        <v>1105</v>
      </c>
      <c r="C474">
        <v>2455</v>
      </c>
      <c r="D474">
        <v>126</v>
      </c>
      <c r="E474" t="s">
        <v>11</v>
      </c>
      <c r="F474" t="s">
        <v>1198</v>
      </c>
      <c r="G474" t="s">
        <v>1199</v>
      </c>
      <c r="H474" t="s">
        <v>1200</v>
      </c>
      <c r="I474" t="s">
        <v>1169</v>
      </c>
    </row>
    <row r="475" spans="1:9" x14ac:dyDescent="0.25">
      <c r="A475" t="s">
        <v>9</v>
      </c>
      <c r="B475" t="s">
        <v>1108</v>
      </c>
      <c r="C475">
        <v>2578</v>
      </c>
      <c r="D475">
        <v>123</v>
      </c>
      <c r="E475" t="s">
        <v>11</v>
      </c>
      <c r="F475" t="s">
        <v>1201</v>
      </c>
      <c r="G475" t="s">
        <v>13</v>
      </c>
      <c r="H475" t="s">
        <v>1202</v>
      </c>
      <c r="I475" t="s">
        <v>1169</v>
      </c>
    </row>
    <row r="476" spans="1:9" x14ac:dyDescent="0.25">
      <c r="A476" t="s">
        <v>35</v>
      </c>
      <c r="B476" t="s">
        <v>1112</v>
      </c>
      <c r="C476">
        <v>2704</v>
      </c>
      <c r="D476">
        <v>126</v>
      </c>
      <c r="E476" t="s">
        <v>11</v>
      </c>
      <c r="F476" t="s">
        <v>1203</v>
      </c>
      <c r="G476" t="s">
        <v>1204</v>
      </c>
      <c r="H476" t="s">
        <v>1205</v>
      </c>
      <c r="I476" t="s">
        <v>1169</v>
      </c>
    </row>
    <row r="477" spans="1:9" x14ac:dyDescent="0.25">
      <c r="A477" t="s">
        <v>9</v>
      </c>
      <c r="B477" t="s">
        <v>1116</v>
      </c>
      <c r="C477">
        <v>2826</v>
      </c>
      <c r="D477">
        <v>122</v>
      </c>
      <c r="E477" t="s">
        <v>11</v>
      </c>
      <c r="F477" t="s">
        <v>1206</v>
      </c>
      <c r="G477" t="s">
        <v>13</v>
      </c>
      <c r="H477" t="s">
        <v>1207</v>
      </c>
      <c r="I477" t="s">
        <v>1169</v>
      </c>
    </row>
    <row r="478" spans="1:9" x14ac:dyDescent="0.25">
      <c r="A478" t="s">
        <v>35</v>
      </c>
      <c r="B478" t="s">
        <v>1208</v>
      </c>
      <c r="C478">
        <v>2955</v>
      </c>
      <c r="D478">
        <v>129</v>
      </c>
      <c r="E478" t="s">
        <v>11</v>
      </c>
      <c r="F478" t="s">
        <v>1209</v>
      </c>
      <c r="G478" t="s">
        <v>1204</v>
      </c>
      <c r="H478" t="s">
        <v>1210</v>
      </c>
      <c r="I478" t="s">
        <v>1169</v>
      </c>
    </row>
    <row r="479" spans="1:9" x14ac:dyDescent="0.25">
      <c r="A479" t="s">
        <v>9</v>
      </c>
      <c r="B479" t="s">
        <v>10</v>
      </c>
      <c r="C479">
        <v>11</v>
      </c>
      <c r="D479">
        <v>124</v>
      </c>
      <c r="E479" t="s">
        <v>11</v>
      </c>
      <c r="F479" t="s">
        <v>1211</v>
      </c>
      <c r="G479" t="s">
        <v>13</v>
      </c>
      <c r="H479" t="s">
        <v>1212</v>
      </c>
      <c r="I479" t="s">
        <v>1213</v>
      </c>
    </row>
    <row r="480" spans="1:9" x14ac:dyDescent="0.25">
      <c r="A480" t="s">
        <v>9</v>
      </c>
      <c r="B480" t="s">
        <v>16</v>
      </c>
      <c r="C480">
        <v>137</v>
      </c>
      <c r="D480">
        <v>126</v>
      </c>
      <c r="E480" t="s">
        <v>11</v>
      </c>
      <c r="F480" t="s">
        <v>1214</v>
      </c>
      <c r="G480" t="s">
        <v>13</v>
      </c>
      <c r="H480" t="s">
        <v>1215</v>
      </c>
      <c r="I480" t="s">
        <v>1213</v>
      </c>
    </row>
    <row r="481" spans="1:9" x14ac:dyDescent="0.25">
      <c r="A481" t="s">
        <v>9</v>
      </c>
      <c r="B481" t="s">
        <v>19</v>
      </c>
      <c r="C481">
        <v>262</v>
      </c>
      <c r="D481">
        <v>125</v>
      </c>
      <c r="E481" t="s">
        <v>11</v>
      </c>
      <c r="F481" t="s">
        <v>1216</v>
      </c>
      <c r="G481" t="s">
        <v>13</v>
      </c>
      <c r="H481" t="s">
        <v>1217</v>
      </c>
      <c r="I481" t="s">
        <v>1213</v>
      </c>
    </row>
    <row r="482" spans="1:9" x14ac:dyDescent="0.25">
      <c r="A482" t="s">
        <v>9</v>
      </c>
      <c r="B482" t="s">
        <v>22</v>
      </c>
      <c r="C482">
        <v>388</v>
      </c>
      <c r="D482">
        <v>126</v>
      </c>
      <c r="E482" t="s">
        <v>11</v>
      </c>
      <c r="F482" t="s">
        <v>1214</v>
      </c>
      <c r="G482" t="s">
        <v>13</v>
      </c>
      <c r="H482" t="s">
        <v>1218</v>
      </c>
      <c r="I482" t="s">
        <v>1213</v>
      </c>
    </row>
    <row r="483" spans="1:9" x14ac:dyDescent="0.25">
      <c r="A483" t="s">
        <v>9</v>
      </c>
      <c r="B483" t="s">
        <v>24</v>
      </c>
      <c r="C483">
        <v>510</v>
      </c>
      <c r="D483">
        <v>122</v>
      </c>
      <c r="E483" t="s">
        <v>11</v>
      </c>
      <c r="F483" t="s">
        <v>1219</v>
      </c>
      <c r="G483" t="s">
        <v>13</v>
      </c>
      <c r="H483" t="s">
        <v>1220</v>
      </c>
      <c r="I483" t="s">
        <v>1213</v>
      </c>
    </row>
    <row r="484" spans="1:9" x14ac:dyDescent="0.25">
      <c r="A484" t="s">
        <v>9</v>
      </c>
      <c r="B484" t="s">
        <v>27</v>
      </c>
      <c r="C484">
        <v>638</v>
      </c>
      <c r="D484">
        <v>128</v>
      </c>
      <c r="E484" t="s">
        <v>11</v>
      </c>
      <c r="F484" t="s">
        <v>1221</v>
      </c>
      <c r="G484" t="s">
        <v>13</v>
      </c>
      <c r="H484" t="s">
        <v>1222</v>
      </c>
      <c r="I484" t="s">
        <v>1213</v>
      </c>
    </row>
    <row r="485" spans="1:9" x14ac:dyDescent="0.25">
      <c r="A485" t="s">
        <v>9</v>
      </c>
      <c r="B485" t="s">
        <v>30</v>
      </c>
      <c r="C485">
        <v>763</v>
      </c>
      <c r="D485">
        <v>125</v>
      </c>
      <c r="E485" t="s">
        <v>11</v>
      </c>
      <c r="F485" t="s">
        <v>1216</v>
      </c>
      <c r="G485" t="s">
        <v>13</v>
      </c>
      <c r="H485" t="s">
        <v>1223</v>
      </c>
      <c r="I485" t="s">
        <v>1213</v>
      </c>
    </row>
    <row r="486" spans="1:9" x14ac:dyDescent="0.25">
      <c r="A486" t="s">
        <v>9</v>
      </c>
      <c r="B486" t="s">
        <v>32</v>
      </c>
      <c r="C486">
        <v>890</v>
      </c>
      <c r="D486">
        <v>127</v>
      </c>
      <c r="E486" t="s">
        <v>11</v>
      </c>
      <c r="F486" t="s">
        <v>1224</v>
      </c>
      <c r="G486" t="s">
        <v>13</v>
      </c>
      <c r="H486" t="s">
        <v>1225</v>
      </c>
      <c r="I486" t="s">
        <v>1213</v>
      </c>
    </row>
    <row r="487" spans="1:9" x14ac:dyDescent="0.25">
      <c r="A487" t="s">
        <v>9</v>
      </c>
      <c r="B487" t="s">
        <v>36</v>
      </c>
      <c r="C487">
        <v>1011</v>
      </c>
      <c r="D487">
        <v>121</v>
      </c>
      <c r="E487" t="s">
        <v>11</v>
      </c>
      <c r="F487" t="s">
        <v>1226</v>
      </c>
      <c r="G487" t="s">
        <v>13</v>
      </c>
      <c r="H487" t="s">
        <v>1227</v>
      </c>
      <c r="I487" t="s">
        <v>1213</v>
      </c>
    </row>
    <row r="488" spans="1:9" x14ac:dyDescent="0.25">
      <c r="A488" t="s">
        <v>35</v>
      </c>
      <c r="B488" t="s">
        <v>40</v>
      </c>
      <c r="C488">
        <v>1139</v>
      </c>
      <c r="D488">
        <v>128</v>
      </c>
      <c r="E488" t="s">
        <v>11</v>
      </c>
      <c r="F488" t="s">
        <v>1221</v>
      </c>
      <c r="G488" t="s">
        <v>1228</v>
      </c>
      <c r="H488" t="s">
        <v>1229</v>
      </c>
      <c r="I488" t="s">
        <v>1213</v>
      </c>
    </row>
    <row r="489" spans="1:9" x14ac:dyDescent="0.25">
      <c r="A489" t="s">
        <v>9</v>
      </c>
      <c r="B489" t="s">
        <v>43</v>
      </c>
      <c r="C489">
        <v>1260</v>
      </c>
      <c r="D489">
        <v>121</v>
      </c>
      <c r="E489" t="s">
        <v>11</v>
      </c>
      <c r="F489" t="s">
        <v>1230</v>
      </c>
      <c r="G489" t="s">
        <v>13</v>
      </c>
      <c r="H489" t="s">
        <v>1231</v>
      </c>
      <c r="I489" t="s">
        <v>1213</v>
      </c>
    </row>
    <row r="490" spans="1:9" x14ac:dyDescent="0.25">
      <c r="A490" t="s">
        <v>35</v>
      </c>
      <c r="B490" t="s">
        <v>47</v>
      </c>
      <c r="C490">
        <v>1388</v>
      </c>
      <c r="D490">
        <v>128</v>
      </c>
      <c r="E490" t="s">
        <v>11</v>
      </c>
      <c r="F490" t="s">
        <v>1232</v>
      </c>
      <c r="G490" t="s">
        <v>1233</v>
      </c>
      <c r="H490" t="s">
        <v>1234</v>
      </c>
      <c r="I490" t="s">
        <v>1213</v>
      </c>
    </row>
    <row r="491" spans="1:9" x14ac:dyDescent="0.25">
      <c r="A491" t="s">
        <v>9</v>
      </c>
      <c r="B491" t="s">
        <v>50</v>
      </c>
      <c r="C491">
        <v>1512</v>
      </c>
      <c r="D491">
        <v>124</v>
      </c>
      <c r="E491" t="s">
        <v>11</v>
      </c>
      <c r="F491" t="s">
        <v>1235</v>
      </c>
      <c r="G491" t="s">
        <v>13</v>
      </c>
      <c r="H491" t="s">
        <v>1236</v>
      </c>
      <c r="I491" t="s">
        <v>1213</v>
      </c>
    </row>
    <row r="492" spans="1:9" x14ac:dyDescent="0.25">
      <c r="A492" t="s">
        <v>35</v>
      </c>
      <c r="B492" t="s">
        <v>343</v>
      </c>
      <c r="C492">
        <v>1638</v>
      </c>
      <c r="D492">
        <v>126</v>
      </c>
      <c r="E492" t="s">
        <v>11</v>
      </c>
      <c r="F492" t="s">
        <v>1237</v>
      </c>
      <c r="G492" t="s">
        <v>1233</v>
      </c>
      <c r="H492" t="s">
        <v>1238</v>
      </c>
      <c r="I492" t="s">
        <v>1213</v>
      </c>
    </row>
    <row r="493" spans="1:9" x14ac:dyDescent="0.25">
      <c r="A493" t="s">
        <v>9</v>
      </c>
      <c r="B493" t="s">
        <v>10</v>
      </c>
      <c r="C493">
        <v>11</v>
      </c>
      <c r="D493">
        <v>124</v>
      </c>
      <c r="E493" t="s">
        <v>11</v>
      </c>
      <c r="F493" t="s">
        <v>1239</v>
      </c>
      <c r="G493" t="s">
        <v>13</v>
      </c>
      <c r="H493" t="s">
        <v>1240</v>
      </c>
      <c r="I493" t="s">
        <v>1241</v>
      </c>
    </row>
    <row r="494" spans="1:9" x14ac:dyDescent="0.25">
      <c r="A494" t="s">
        <v>9</v>
      </c>
      <c r="B494" t="s">
        <v>16</v>
      </c>
      <c r="C494">
        <v>137</v>
      </c>
      <c r="D494">
        <v>126</v>
      </c>
      <c r="E494" t="s">
        <v>11</v>
      </c>
      <c r="F494" t="s">
        <v>1242</v>
      </c>
      <c r="G494" t="s">
        <v>13</v>
      </c>
      <c r="H494" t="s">
        <v>1243</v>
      </c>
      <c r="I494" t="s">
        <v>1241</v>
      </c>
    </row>
    <row r="495" spans="1:9" x14ac:dyDescent="0.25">
      <c r="A495" t="s">
        <v>9</v>
      </c>
      <c r="B495" t="s">
        <v>19</v>
      </c>
      <c r="C495">
        <v>262</v>
      </c>
      <c r="D495">
        <v>125</v>
      </c>
      <c r="E495" t="s">
        <v>11</v>
      </c>
      <c r="F495" t="s">
        <v>1244</v>
      </c>
      <c r="G495" t="s">
        <v>13</v>
      </c>
      <c r="H495" t="s">
        <v>1245</v>
      </c>
      <c r="I495" t="s">
        <v>1241</v>
      </c>
    </row>
    <row r="496" spans="1:9" x14ac:dyDescent="0.25">
      <c r="A496" t="s">
        <v>9</v>
      </c>
      <c r="B496" t="s">
        <v>22</v>
      </c>
      <c r="C496">
        <v>388</v>
      </c>
      <c r="D496">
        <v>126</v>
      </c>
      <c r="E496" t="s">
        <v>11</v>
      </c>
      <c r="F496" t="s">
        <v>1242</v>
      </c>
      <c r="G496" t="s">
        <v>13</v>
      </c>
      <c r="H496" t="s">
        <v>1246</v>
      </c>
      <c r="I496" t="s">
        <v>1241</v>
      </c>
    </row>
    <row r="497" spans="1:9" x14ac:dyDescent="0.25">
      <c r="A497" t="s">
        <v>9</v>
      </c>
      <c r="B497" t="s">
        <v>24</v>
      </c>
      <c r="C497">
        <v>510</v>
      </c>
      <c r="D497">
        <v>122</v>
      </c>
      <c r="E497" t="s">
        <v>11</v>
      </c>
      <c r="F497" t="s">
        <v>1247</v>
      </c>
      <c r="G497" t="s">
        <v>13</v>
      </c>
      <c r="H497" t="s">
        <v>1248</v>
      </c>
      <c r="I497" t="s">
        <v>1241</v>
      </c>
    </row>
    <row r="498" spans="1:9" x14ac:dyDescent="0.25">
      <c r="A498" t="s">
        <v>9</v>
      </c>
      <c r="B498" t="s">
        <v>27</v>
      </c>
      <c r="C498">
        <v>638</v>
      </c>
      <c r="D498">
        <v>128</v>
      </c>
      <c r="E498" t="s">
        <v>11</v>
      </c>
      <c r="F498" t="s">
        <v>1249</v>
      </c>
      <c r="G498" t="s">
        <v>13</v>
      </c>
      <c r="H498" t="s">
        <v>1250</v>
      </c>
      <c r="I498" t="s">
        <v>1241</v>
      </c>
    </row>
    <row r="499" spans="1:9" x14ac:dyDescent="0.25">
      <c r="A499" t="s">
        <v>9</v>
      </c>
      <c r="B499" t="s">
        <v>30</v>
      </c>
      <c r="C499">
        <v>763</v>
      </c>
      <c r="D499">
        <v>125</v>
      </c>
      <c r="E499" t="s">
        <v>11</v>
      </c>
      <c r="F499" t="s">
        <v>1244</v>
      </c>
      <c r="G499" t="s">
        <v>13</v>
      </c>
      <c r="H499" t="s">
        <v>1251</v>
      </c>
      <c r="I499" t="s">
        <v>1241</v>
      </c>
    </row>
    <row r="500" spans="1:9" x14ac:dyDescent="0.25">
      <c r="A500" t="s">
        <v>9</v>
      </c>
      <c r="B500" t="s">
        <v>32</v>
      </c>
      <c r="C500">
        <v>890</v>
      </c>
      <c r="D500">
        <v>127</v>
      </c>
      <c r="E500" t="s">
        <v>11</v>
      </c>
      <c r="F500" t="s">
        <v>1252</v>
      </c>
      <c r="G500" t="s">
        <v>13</v>
      </c>
      <c r="H500" t="s">
        <v>1253</v>
      </c>
      <c r="I500" t="s">
        <v>1241</v>
      </c>
    </row>
    <row r="501" spans="1:9" x14ac:dyDescent="0.25">
      <c r="A501" t="s">
        <v>9</v>
      </c>
      <c r="B501" t="s">
        <v>36</v>
      </c>
      <c r="C501">
        <v>1011</v>
      </c>
      <c r="D501">
        <v>121</v>
      </c>
      <c r="E501" t="s">
        <v>11</v>
      </c>
      <c r="F501" t="s">
        <v>1254</v>
      </c>
      <c r="G501" t="s">
        <v>13</v>
      </c>
      <c r="H501" t="s">
        <v>1255</v>
      </c>
      <c r="I501" t="s">
        <v>1241</v>
      </c>
    </row>
    <row r="502" spans="1:9" x14ac:dyDescent="0.25">
      <c r="A502" t="s">
        <v>9</v>
      </c>
      <c r="B502" t="s">
        <v>40</v>
      </c>
      <c r="C502">
        <v>1139</v>
      </c>
      <c r="D502">
        <v>128</v>
      </c>
      <c r="E502" t="s">
        <v>11</v>
      </c>
      <c r="F502" t="s">
        <v>1249</v>
      </c>
      <c r="G502" t="s">
        <v>13</v>
      </c>
      <c r="H502" t="s">
        <v>1256</v>
      </c>
      <c r="I502" t="s">
        <v>1241</v>
      </c>
    </row>
    <row r="503" spans="1:9" x14ac:dyDescent="0.25">
      <c r="A503" t="s">
        <v>9</v>
      </c>
      <c r="B503" t="s">
        <v>43</v>
      </c>
      <c r="C503">
        <v>1260</v>
      </c>
      <c r="D503">
        <v>121</v>
      </c>
      <c r="E503" t="s">
        <v>11</v>
      </c>
      <c r="F503" t="s">
        <v>1254</v>
      </c>
      <c r="G503" t="s">
        <v>13</v>
      </c>
      <c r="H503" t="s">
        <v>1257</v>
      </c>
      <c r="I503" t="s">
        <v>1241</v>
      </c>
    </row>
    <row r="504" spans="1:9" x14ac:dyDescent="0.25">
      <c r="A504" t="s">
        <v>9</v>
      </c>
      <c r="B504" t="s">
        <v>47</v>
      </c>
      <c r="C504">
        <v>1388</v>
      </c>
      <c r="D504">
        <v>128</v>
      </c>
      <c r="E504" t="s">
        <v>11</v>
      </c>
      <c r="F504" t="s">
        <v>1249</v>
      </c>
      <c r="G504" t="s">
        <v>13</v>
      </c>
      <c r="H504" t="s">
        <v>1258</v>
      </c>
      <c r="I504" t="s">
        <v>1241</v>
      </c>
    </row>
    <row r="505" spans="1:9" x14ac:dyDescent="0.25">
      <c r="A505" t="s">
        <v>9</v>
      </c>
      <c r="B505" t="s">
        <v>50</v>
      </c>
      <c r="C505">
        <v>1512</v>
      </c>
      <c r="D505">
        <v>124</v>
      </c>
      <c r="E505" t="s">
        <v>11</v>
      </c>
      <c r="F505" t="s">
        <v>1239</v>
      </c>
      <c r="G505" t="s">
        <v>13</v>
      </c>
      <c r="H505" t="s">
        <v>1259</v>
      </c>
      <c r="I505" t="s">
        <v>1241</v>
      </c>
    </row>
    <row r="506" spans="1:9" x14ac:dyDescent="0.25">
      <c r="A506" t="s">
        <v>35</v>
      </c>
      <c r="B506" t="s">
        <v>343</v>
      </c>
      <c r="C506">
        <v>1638</v>
      </c>
      <c r="D506">
        <v>126</v>
      </c>
      <c r="E506" t="s">
        <v>11</v>
      </c>
      <c r="F506" t="s">
        <v>1242</v>
      </c>
      <c r="G506" t="s">
        <v>1260</v>
      </c>
      <c r="H506" t="s">
        <v>1261</v>
      </c>
      <c r="I506" t="s">
        <v>1241</v>
      </c>
    </row>
    <row r="507" spans="1:9" x14ac:dyDescent="0.25">
      <c r="A507" t="s">
        <v>9</v>
      </c>
      <c r="B507" t="s">
        <v>1262</v>
      </c>
      <c r="C507">
        <v>1763</v>
      </c>
      <c r="D507">
        <v>125</v>
      </c>
      <c r="E507" t="s">
        <v>11</v>
      </c>
      <c r="F507" t="s">
        <v>1263</v>
      </c>
      <c r="G507" t="s">
        <v>13</v>
      </c>
      <c r="H507" t="s">
        <v>1264</v>
      </c>
      <c r="I507" t="s">
        <v>1241</v>
      </c>
    </row>
    <row r="508" spans="1:9" x14ac:dyDescent="0.25">
      <c r="A508" t="s">
        <v>35</v>
      </c>
      <c r="B508" t="s">
        <v>1265</v>
      </c>
      <c r="C508">
        <v>1891</v>
      </c>
      <c r="D508">
        <v>128</v>
      </c>
      <c r="E508" t="s">
        <v>11</v>
      </c>
      <c r="F508" t="s">
        <v>1266</v>
      </c>
      <c r="G508" t="s">
        <v>1267</v>
      </c>
      <c r="H508" t="s">
        <v>1268</v>
      </c>
      <c r="I508" t="s">
        <v>1241</v>
      </c>
    </row>
    <row r="509" spans="1:9" x14ac:dyDescent="0.25">
      <c r="A509" t="s">
        <v>9</v>
      </c>
      <c r="B509" t="s">
        <v>1269</v>
      </c>
      <c r="C509">
        <v>2015</v>
      </c>
      <c r="D509">
        <v>124</v>
      </c>
      <c r="E509" t="s">
        <v>11</v>
      </c>
      <c r="F509" t="s">
        <v>1270</v>
      </c>
      <c r="G509" t="s">
        <v>13</v>
      </c>
      <c r="H509" t="s">
        <v>1271</v>
      </c>
      <c r="I509" t="s">
        <v>1241</v>
      </c>
    </row>
    <row r="510" spans="1:9" x14ac:dyDescent="0.25">
      <c r="A510" t="s">
        <v>35</v>
      </c>
      <c r="B510" t="s">
        <v>1272</v>
      </c>
      <c r="C510">
        <v>2143</v>
      </c>
      <c r="D510">
        <v>128</v>
      </c>
      <c r="E510" t="s">
        <v>11</v>
      </c>
      <c r="F510" t="s">
        <v>1273</v>
      </c>
      <c r="G510" t="s">
        <v>1274</v>
      </c>
      <c r="H510" t="s">
        <v>1275</v>
      </c>
      <c r="I510" t="s">
        <v>1241</v>
      </c>
    </row>
    <row r="511" spans="1:9" x14ac:dyDescent="0.25">
      <c r="A511" t="s">
        <v>9</v>
      </c>
      <c r="B511" t="s">
        <v>1276</v>
      </c>
      <c r="C511">
        <v>2267</v>
      </c>
      <c r="D511">
        <v>124</v>
      </c>
      <c r="E511" t="s">
        <v>11</v>
      </c>
      <c r="F511" t="s">
        <v>1277</v>
      </c>
      <c r="G511" t="s">
        <v>13</v>
      </c>
      <c r="H511" t="s">
        <v>1278</v>
      </c>
      <c r="I511" t="s">
        <v>1241</v>
      </c>
    </row>
    <row r="512" spans="1:9" x14ac:dyDescent="0.25">
      <c r="A512" t="s">
        <v>35</v>
      </c>
      <c r="B512" t="s">
        <v>1279</v>
      </c>
      <c r="C512">
        <v>2394</v>
      </c>
      <c r="D512">
        <v>127</v>
      </c>
      <c r="E512" t="s">
        <v>11</v>
      </c>
      <c r="F512" t="s">
        <v>1280</v>
      </c>
      <c r="G512" t="s">
        <v>1281</v>
      </c>
      <c r="H512" t="s">
        <v>1282</v>
      </c>
      <c r="I512" t="s">
        <v>1241</v>
      </c>
    </row>
    <row r="513" spans="1:9" x14ac:dyDescent="0.25">
      <c r="A513" t="s">
        <v>35</v>
      </c>
      <c r="B513" t="s">
        <v>53</v>
      </c>
      <c r="C513">
        <v>73</v>
      </c>
      <c r="D513">
        <v>73</v>
      </c>
      <c r="E513" t="s">
        <v>11</v>
      </c>
      <c r="F513" t="s">
        <v>1283</v>
      </c>
      <c r="G513" t="s">
        <v>1284</v>
      </c>
      <c r="H513" t="s">
        <v>1285</v>
      </c>
      <c r="I513" t="s">
        <v>1286</v>
      </c>
    </row>
    <row r="514" spans="1:9" x14ac:dyDescent="0.25">
      <c r="A514" t="s">
        <v>35</v>
      </c>
      <c r="B514" t="s">
        <v>57</v>
      </c>
      <c r="C514">
        <v>201</v>
      </c>
      <c r="D514">
        <v>128</v>
      </c>
      <c r="E514" t="s">
        <v>11</v>
      </c>
      <c r="F514" t="s">
        <v>1287</v>
      </c>
      <c r="G514" t="s">
        <v>1288</v>
      </c>
      <c r="H514" t="s">
        <v>1289</v>
      </c>
      <c r="I514" t="s">
        <v>1286</v>
      </c>
    </row>
    <row r="515" spans="1:9" x14ac:dyDescent="0.25">
      <c r="A515" t="s">
        <v>35</v>
      </c>
      <c r="B515" t="s">
        <v>60</v>
      </c>
      <c r="C515">
        <v>323</v>
      </c>
      <c r="D515">
        <v>122</v>
      </c>
      <c r="E515" t="s">
        <v>11</v>
      </c>
      <c r="F515" t="s">
        <v>1290</v>
      </c>
      <c r="G515" t="s">
        <v>1291</v>
      </c>
      <c r="H515" t="s">
        <v>1292</v>
      </c>
      <c r="I515" t="s">
        <v>1286</v>
      </c>
    </row>
    <row r="516" spans="1:9" x14ac:dyDescent="0.25">
      <c r="A516" t="s">
        <v>35</v>
      </c>
      <c r="B516" t="s">
        <v>63</v>
      </c>
      <c r="C516">
        <v>450</v>
      </c>
      <c r="D516">
        <v>127</v>
      </c>
      <c r="E516" t="s">
        <v>11</v>
      </c>
      <c r="F516" t="s">
        <v>1293</v>
      </c>
      <c r="G516" t="s">
        <v>1294</v>
      </c>
      <c r="H516" t="s">
        <v>1295</v>
      </c>
      <c r="I516" t="s">
        <v>1286</v>
      </c>
    </row>
    <row r="517" spans="1:9" x14ac:dyDescent="0.25">
      <c r="A517" t="s">
        <v>35</v>
      </c>
      <c r="B517" t="s">
        <v>66</v>
      </c>
      <c r="C517">
        <v>573</v>
      </c>
      <c r="D517">
        <v>123</v>
      </c>
      <c r="E517" t="s">
        <v>11</v>
      </c>
      <c r="F517" t="s">
        <v>1296</v>
      </c>
      <c r="G517" t="s">
        <v>1297</v>
      </c>
      <c r="H517" t="s">
        <v>1298</v>
      </c>
      <c r="I517" t="s">
        <v>1286</v>
      </c>
    </row>
    <row r="518" spans="1:9" x14ac:dyDescent="0.25">
      <c r="A518" t="s">
        <v>35</v>
      </c>
      <c r="B518" t="s">
        <v>68</v>
      </c>
      <c r="C518">
        <v>700</v>
      </c>
      <c r="D518">
        <v>127</v>
      </c>
      <c r="E518" t="s">
        <v>11</v>
      </c>
      <c r="F518" t="s">
        <v>1299</v>
      </c>
      <c r="G518" t="s">
        <v>1300</v>
      </c>
      <c r="H518" t="s">
        <v>1301</v>
      </c>
      <c r="I518" t="s">
        <v>1286</v>
      </c>
    </row>
    <row r="519" spans="1:9" x14ac:dyDescent="0.25">
      <c r="A519" t="s">
        <v>35</v>
      </c>
      <c r="B519" t="s">
        <v>70</v>
      </c>
      <c r="C519">
        <v>826</v>
      </c>
      <c r="D519">
        <v>126</v>
      </c>
      <c r="E519" t="s">
        <v>11</v>
      </c>
      <c r="F519" t="s">
        <v>1302</v>
      </c>
      <c r="G519" t="s">
        <v>1303</v>
      </c>
      <c r="H519" t="s">
        <v>1304</v>
      </c>
      <c r="I519" t="s">
        <v>1286</v>
      </c>
    </row>
    <row r="520" spans="1:9" x14ac:dyDescent="0.25">
      <c r="A520" t="s">
        <v>35</v>
      </c>
      <c r="B520" t="s">
        <v>73</v>
      </c>
      <c r="C520">
        <v>951</v>
      </c>
      <c r="D520">
        <v>125</v>
      </c>
      <c r="E520" t="s">
        <v>11</v>
      </c>
      <c r="F520" t="s">
        <v>1305</v>
      </c>
      <c r="G520" t="s">
        <v>1306</v>
      </c>
      <c r="H520" t="s">
        <v>1307</v>
      </c>
      <c r="I520" t="s">
        <v>1286</v>
      </c>
    </row>
    <row r="521" spans="1:9" x14ac:dyDescent="0.25">
      <c r="A521" t="s">
        <v>35</v>
      </c>
      <c r="B521" t="s">
        <v>76</v>
      </c>
      <c r="C521">
        <v>1074</v>
      </c>
      <c r="D521">
        <v>123</v>
      </c>
      <c r="E521" t="s">
        <v>11</v>
      </c>
      <c r="F521" t="s">
        <v>1308</v>
      </c>
      <c r="G521" t="s">
        <v>1309</v>
      </c>
      <c r="H521" t="s">
        <v>1310</v>
      </c>
      <c r="I521" t="s">
        <v>1286</v>
      </c>
    </row>
    <row r="522" spans="1:9" x14ac:dyDescent="0.25">
      <c r="A522" t="s">
        <v>35</v>
      </c>
      <c r="B522" t="s">
        <v>79</v>
      </c>
      <c r="C522">
        <v>1200</v>
      </c>
      <c r="D522">
        <v>126</v>
      </c>
      <c r="E522" t="s">
        <v>11</v>
      </c>
      <c r="F522" t="s">
        <v>1311</v>
      </c>
      <c r="G522" t="s">
        <v>1312</v>
      </c>
      <c r="H522" t="s">
        <v>1313</v>
      </c>
      <c r="I522" t="s">
        <v>1286</v>
      </c>
    </row>
    <row r="523" spans="1:9" x14ac:dyDescent="0.25">
      <c r="A523" t="s">
        <v>35</v>
      </c>
      <c r="B523" t="s">
        <v>82</v>
      </c>
      <c r="C523">
        <v>1324</v>
      </c>
      <c r="D523">
        <v>124</v>
      </c>
      <c r="E523" t="s">
        <v>11</v>
      </c>
      <c r="F523" t="s">
        <v>1314</v>
      </c>
      <c r="G523" t="s">
        <v>1315</v>
      </c>
      <c r="H523" t="s">
        <v>1316</v>
      </c>
      <c r="I523" t="s">
        <v>1286</v>
      </c>
    </row>
    <row r="524" spans="1:9" x14ac:dyDescent="0.25">
      <c r="A524" t="s">
        <v>35</v>
      </c>
      <c r="B524" t="s">
        <v>86</v>
      </c>
      <c r="C524">
        <v>1451</v>
      </c>
      <c r="D524">
        <v>127</v>
      </c>
      <c r="E524" t="s">
        <v>11</v>
      </c>
      <c r="F524" t="s">
        <v>1317</v>
      </c>
      <c r="G524" t="s">
        <v>1318</v>
      </c>
      <c r="H524" t="s">
        <v>1319</v>
      </c>
      <c r="I524" t="s">
        <v>1286</v>
      </c>
    </row>
    <row r="525" spans="1:9" x14ac:dyDescent="0.25">
      <c r="A525" t="s">
        <v>35</v>
      </c>
      <c r="B525" t="s">
        <v>89</v>
      </c>
      <c r="C525">
        <v>1573</v>
      </c>
      <c r="D525">
        <v>122</v>
      </c>
      <c r="E525" t="s">
        <v>11</v>
      </c>
      <c r="F525" t="s">
        <v>1320</v>
      </c>
      <c r="G525" t="s">
        <v>1321</v>
      </c>
      <c r="H525" t="s">
        <v>1322</v>
      </c>
      <c r="I525" t="s">
        <v>1286</v>
      </c>
    </row>
    <row r="526" spans="1:9" x14ac:dyDescent="0.25">
      <c r="A526" t="s">
        <v>35</v>
      </c>
      <c r="B526" t="s">
        <v>1093</v>
      </c>
      <c r="C526">
        <v>1702</v>
      </c>
      <c r="D526">
        <v>129</v>
      </c>
      <c r="E526" t="s">
        <v>11</v>
      </c>
      <c r="F526" t="s">
        <v>1323</v>
      </c>
      <c r="G526" t="s">
        <v>1324</v>
      </c>
      <c r="H526" t="s">
        <v>1325</v>
      </c>
      <c r="I526" t="s">
        <v>1286</v>
      </c>
    </row>
    <row r="527" spans="1:9" x14ac:dyDescent="0.25">
      <c r="A527" t="s">
        <v>35</v>
      </c>
      <c r="B527" t="s">
        <v>462</v>
      </c>
      <c r="C527">
        <v>1826</v>
      </c>
      <c r="D527">
        <v>124</v>
      </c>
      <c r="E527" t="s">
        <v>11</v>
      </c>
      <c r="F527" t="s">
        <v>1326</v>
      </c>
      <c r="G527" t="s">
        <v>1327</v>
      </c>
      <c r="H527" t="s">
        <v>1328</v>
      </c>
      <c r="I527" t="s">
        <v>1286</v>
      </c>
    </row>
    <row r="528" spans="1:9" x14ac:dyDescent="0.25">
      <c r="A528" t="s">
        <v>35</v>
      </c>
      <c r="B528" t="s">
        <v>1097</v>
      </c>
      <c r="C528">
        <v>1953</v>
      </c>
      <c r="D528">
        <v>127</v>
      </c>
      <c r="E528" t="s">
        <v>11</v>
      </c>
      <c r="F528" t="s">
        <v>1329</v>
      </c>
      <c r="G528" t="s">
        <v>1330</v>
      </c>
      <c r="H528" t="s">
        <v>1331</v>
      </c>
      <c r="I528" t="s">
        <v>1286</v>
      </c>
    </row>
    <row r="529" spans="1:9" x14ac:dyDescent="0.25">
      <c r="A529" t="s">
        <v>35</v>
      </c>
      <c r="B529" t="s">
        <v>466</v>
      </c>
      <c r="C529">
        <v>2079</v>
      </c>
      <c r="D529">
        <v>126</v>
      </c>
      <c r="E529" t="s">
        <v>11</v>
      </c>
      <c r="F529" t="s">
        <v>1332</v>
      </c>
      <c r="G529" t="s">
        <v>1333</v>
      </c>
      <c r="H529" t="s">
        <v>1334</v>
      </c>
      <c r="I529" t="s">
        <v>1286</v>
      </c>
    </row>
    <row r="530" spans="1:9" x14ac:dyDescent="0.25">
      <c r="A530" t="s">
        <v>35</v>
      </c>
      <c r="B530" t="s">
        <v>1100</v>
      </c>
      <c r="C530">
        <v>2205</v>
      </c>
      <c r="D530">
        <v>126</v>
      </c>
      <c r="E530" t="s">
        <v>11</v>
      </c>
      <c r="F530" t="s">
        <v>1335</v>
      </c>
      <c r="G530" t="s">
        <v>1336</v>
      </c>
      <c r="H530" t="s">
        <v>1337</v>
      </c>
      <c r="I530" t="s">
        <v>1286</v>
      </c>
    </row>
    <row r="531" spans="1:9" x14ac:dyDescent="0.25">
      <c r="A531" t="s">
        <v>35</v>
      </c>
      <c r="B531" t="s">
        <v>1102</v>
      </c>
      <c r="C531">
        <v>2329</v>
      </c>
      <c r="D531">
        <v>124</v>
      </c>
      <c r="E531" t="s">
        <v>11</v>
      </c>
      <c r="F531" t="s">
        <v>1338</v>
      </c>
      <c r="G531" t="s">
        <v>1339</v>
      </c>
      <c r="H531" t="s">
        <v>1340</v>
      </c>
      <c r="I531" t="s">
        <v>1286</v>
      </c>
    </row>
    <row r="532" spans="1:9" x14ac:dyDescent="0.25">
      <c r="A532" t="s">
        <v>35</v>
      </c>
      <c r="B532" t="s">
        <v>1105</v>
      </c>
      <c r="C532">
        <v>2455</v>
      </c>
      <c r="D532">
        <v>126</v>
      </c>
      <c r="E532" t="s">
        <v>11</v>
      </c>
      <c r="F532" t="s">
        <v>1341</v>
      </c>
      <c r="G532" t="s">
        <v>1342</v>
      </c>
      <c r="H532" t="s">
        <v>1343</v>
      </c>
      <c r="I532" t="s">
        <v>1286</v>
      </c>
    </row>
    <row r="533" spans="1:9" x14ac:dyDescent="0.25">
      <c r="A533" t="s">
        <v>35</v>
      </c>
      <c r="B533" t="s">
        <v>1108</v>
      </c>
      <c r="C533">
        <v>2578</v>
      </c>
      <c r="D533">
        <v>123</v>
      </c>
      <c r="E533" t="s">
        <v>11</v>
      </c>
      <c r="F533" t="s">
        <v>1344</v>
      </c>
      <c r="G533" t="s">
        <v>1345</v>
      </c>
      <c r="H533" t="s">
        <v>1346</v>
      </c>
      <c r="I533" t="s">
        <v>1286</v>
      </c>
    </row>
    <row r="534" spans="1:9" x14ac:dyDescent="0.25">
      <c r="A534" t="s">
        <v>35</v>
      </c>
      <c r="B534" t="s">
        <v>1112</v>
      </c>
      <c r="C534">
        <v>2704</v>
      </c>
      <c r="D534">
        <v>126</v>
      </c>
      <c r="E534" t="s">
        <v>11</v>
      </c>
      <c r="F534" t="s">
        <v>1347</v>
      </c>
      <c r="G534" t="s">
        <v>1348</v>
      </c>
      <c r="H534" t="s">
        <v>1349</v>
      </c>
      <c r="I534" t="s">
        <v>1286</v>
      </c>
    </row>
    <row r="535" spans="1:9" x14ac:dyDescent="0.25">
      <c r="A535" t="s">
        <v>35</v>
      </c>
      <c r="B535" t="s">
        <v>1116</v>
      </c>
      <c r="C535">
        <v>2826</v>
      </c>
      <c r="D535">
        <v>122</v>
      </c>
      <c r="E535" t="s">
        <v>11</v>
      </c>
      <c r="F535" t="s">
        <v>1350</v>
      </c>
      <c r="G535" t="s">
        <v>1351</v>
      </c>
      <c r="H535" t="s">
        <v>1352</v>
      </c>
      <c r="I535" t="s">
        <v>1286</v>
      </c>
    </row>
    <row r="536" spans="1:9" x14ac:dyDescent="0.25">
      <c r="A536" t="s">
        <v>35</v>
      </c>
      <c r="B536" t="s">
        <v>1208</v>
      </c>
      <c r="C536">
        <v>2955</v>
      </c>
      <c r="D536">
        <v>129</v>
      </c>
      <c r="E536" t="s">
        <v>11</v>
      </c>
      <c r="F536" t="s">
        <v>1353</v>
      </c>
      <c r="G536" t="s">
        <v>1354</v>
      </c>
      <c r="H536" t="s">
        <v>1355</v>
      </c>
      <c r="I536" t="s">
        <v>1286</v>
      </c>
    </row>
    <row r="537" spans="1:9" x14ac:dyDescent="0.25">
      <c r="A537" t="s">
        <v>35</v>
      </c>
      <c r="B537" t="s">
        <v>1356</v>
      </c>
      <c r="C537">
        <v>3077</v>
      </c>
      <c r="D537">
        <v>122</v>
      </c>
      <c r="E537" t="s">
        <v>11</v>
      </c>
      <c r="F537" t="s">
        <v>1357</v>
      </c>
      <c r="G537" t="s">
        <v>1358</v>
      </c>
      <c r="H537" t="s">
        <v>1359</v>
      </c>
      <c r="I537" t="s">
        <v>1286</v>
      </c>
    </row>
    <row r="538" spans="1:9" x14ac:dyDescent="0.25">
      <c r="A538" t="s">
        <v>35</v>
      </c>
      <c r="B538" t="s">
        <v>1360</v>
      </c>
      <c r="C538">
        <v>3204</v>
      </c>
      <c r="D538">
        <v>127</v>
      </c>
      <c r="E538" t="s">
        <v>11</v>
      </c>
      <c r="F538" t="s">
        <v>1361</v>
      </c>
      <c r="G538" t="s">
        <v>1362</v>
      </c>
      <c r="H538" t="s">
        <v>1363</v>
      </c>
      <c r="I538" t="s">
        <v>1286</v>
      </c>
    </row>
    <row r="539" spans="1:9" x14ac:dyDescent="0.25">
      <c r="A539" t="s">
        <v>35</v>
      </c>
      <c r="B539" t="s">
        <v>1364</v>
      </c>
      <c r="C539">
        <v>3328</v>
      </c>
      <c r="D539">
        <v>124</v>
      </c>
      <c r="E539" t="s">
        <v>11</v>
      </c>
      <c r="F539" t="s">
        <v>1365</v>
      </c>
      <c r="G539" t="s">
        <v>1366</v>
      </c>
      <c r="H539" t="s">
        <v>1367</v>
      </c>
      <c r="I539" t="s">
        <v>1286</v>
      </c>
    </row>
    <row r="540" spans="1:9" x14ac:dyDescent="0.25">
      <c r="A540" t="s">
        <v>35</v>
      </c>
      <c r="B540" t="s">
        <v>1368</v>
      </c>
      <c r="C540">
        <v>3454</v>
      </c>
      <c r="D540">
        <v>126</v>
      </c>
      <c r="E540" t="s">
        <v>11</v>
      </c>
      <c r="F540" t="s">
        <v>1369</v>
      </c>
      <c r="G540" t="s">
        <v>1370</v>
      </c>
      <c r="H540" t="s">
        <v>1371</v>
      </c>
      <c r="I540" t="s">
        <v>1286</v>
      </c>
    </row>
    <row r="541" spans="1:9" x14ac:dyDescent="0.25">
      <c r="A541" t="s">
        <v>35</v>
      </c>
      <c r="B541" t="s">
        <v>1372</v>
      </c>
      <c r="C541">
        <v>3579</v>
      </c>
      <c r="D541">
        <v>125</v>
      </c>
      <c r="E541" t="s">
        <v>11</v>
      </c>
      <c r="F541" t="s">
        <v>1373</v>
      </c>
      <c r="G541" t="s">
        <v>1374</v>
      </c>
      <c r="H541" t="s">
        <v>1375</v>
      </c>
      <c r="I541" t="s">
        <v>1286</v>
      </c>
    </row>
    <row r="542" spans="1:9" x14ac:dyDescent="0.25">
      <c r="A542" t="s">
        <v>35</v>
      </c>
      <c r="B542" t="s">
        <v>1376</v>
      </c>
      <c r="C542">
        <v>3706</v>
      </c>
      <c r="D542">
        <v>127</v>
      </c>
      <c r="E542" t="s">
        <v>11</v>
      </c>
      <c r="F542" t="s">
        <v>1377</v>
      </c>
      <c r="G542" t="s">
        <v>1378</v>
      </c>
      <c r="H542" t="s">
        <v>1379</v>
      </c>
      <c r="I542" t="s">
        <v>1286</v>
      </c>
    </row>
    <row r="543" spans="1:9" x14ac:dyDescent="0.25">
      <c r="A543" t="s">
        <v>35</v>
      </c>
      <c r="B543" t="s">
        <v>1380</v>
      </c>
      <c r="C543">
        <v>3832</v>
      </c>
      <c r="D543">
        <v>126</v>
      </c>
      <c r="E543" t="s">
        <v>11</v>
      </c>
      <c r="F543" t="s">
        <v>1381</v>
      </c>
      <c r="G543" t="s">
        <v>1382</v>
      </c>
      <c r="H543" t="s">
        <v>1383</v>
      </c>
      <c r="I543" t="s">
        <v>1286</v>
      </c>
    </row>
    <row r="544" spans="1:9" x14ac:dyDescent="0.25">
      <c r="A544" t="s">
        <v>35</v>
      </c>
      <c r="B544" t="s">
        <v>1384</v>
      </c>
      <c r="C544">
        <v>3958</v>
      </c>
      <c r="D544">
        <v>126</v>
      </c>
      <c r="E544" t="s">
        <v>11</v>
      </c>
      <c r="F544" t="s">
        <v>1385</v>
      </c>
      <c r="G544" t="s">
        <v>1386</v>
      </c>
      <c r="H544" t="s">
        <v>1387</v>
      </c>
      <c r="I544" t="s">
        <v>1286</v>
      </c>
    </row>
    <row r="545" spans="1:9" x14ac:dyDescent="0.25">
      <c r="A545" t="s">
        <v>35</v>
      </c>
      <c r="B545" t="s">
        <v>1388</v>
      </c>
      <c r="C545">
        <v>4082</v>
      </c>
      <c r="D545">
        <v>124</v>
      </c>
      <c r="E545" t="s">
        <v>11</v>
      </c>
      <c r="F545" t="s">
        <v>1389</v>
      </c>
      <c r="G545" t="s">
        <v>1390</v>
      </c>
      <c r="H545" t="s">
        <v>1391</v>
      </c>
      <c r="I545" t="s">
        <v>1286</v>
      </c>
    </row>
    <row r="546" spans="1:9" x14ac:dyDescent="0.25">
      <c r="A546" t="s">
        <v>35</v>
      </c>
      <c r="B546" t="s">
        <v>1392</v>
      </c>
      <c r="C546">
        <v>4209</v>
      </c>
      <c r="D546">
        <v>127</v>
      </c>
      <c r="E546" t="s">
        <v>11</v>
      </c>
      <c r="F546" t="s">
        <v>1393</v>
      </c>
      <c r="G546" t="s">
        <v>1394</v>
      </c>
      <c r="H546" t="s">
        <v>1395</v>
      </c>
      <c r="I546" t="s">
        <v>1286</v>
      </c>
    </row>
    <row r="547" spans="1:9" x14ac:dyDescent="0.25">
      <c r="A547" t="s">
        <v>35</v>
      </c>
      <c r="B547" t="s">
        <v>1396</v>
      </c>
      <c r="C547">
        <v>4331</v>
      </c>
      <c r="D547">
        <v>122</v>
      </c>
      <c r="E547" t="s">
        <v>11</v>
      </c>
      <c r="F547" t="s">
        <v>1397</v>
      </c>
      <c r="G547" t="s">
        <v>1398</v>
      </c>
      <c r="H547" t="s">
        <v>1399</v>
      </c>
      <c r="I547" t="s">
        <v>1286</v>
      </c>
    </row>
    <row r="548" spans="1:9" x14ac:dyDescent="0.25">
      <c r="A548" t="s">
        <v>11</v>
      </c>
      <c r="B548" t="s">
        <v>10</v>
      </c>
      <c r="C548">
        <v>11</v>
      </c>
      <c r="D548">
        <v>11</v>
      </c>
      <c r="E548" t="s">
        <v>11</v>
      </c>
      <c r="F548" t="s">
        <v>13</v>
      </c>
      <c r="G548" t="s">
        <v>13</v>
      </c>
      <c r="H548" t="s">
        <v>13</v>
      </c>
      <c r="I548" t="s">
        <v>1400</v>
      </c>
    </row>
    <row r="549" spans="1:9" x14ac:dyDescent="0.25">
      <c r="A549" t="s">
        <v>35</v>
      </c>
      <c r="B549" t="s">
        <v>16</v>
      </c>
      <c r="C549">
        <v>137</v>
      </c>
      <c r="D549">
        <v>126</v>
      </c>
      <c r="E549" t="s">
        <v>11</v>
      </c>
      <c r="F549" t="s">
        <v>1401</v>
      </c>
      <c r="G549" t="s">
        <v>1402</v>
      </c>
      <c r="H549" t="s">
        <v>1403</v>
      </c>
      <c r="I549" t="s">
        <v>1400</v>
      </c>
    </row>
    <row r="550" spans="1:9" x14ac:dyDescent="0.25">
      <c r="A550" t="s">
        <v>35</v>
      </c>
      <c r="B550" t="s">
        <v>19</v>
      </c>
      <c r="C550">
        <v>262</v>
      </c>
      <c r="D550">
        <v>125</v>
      </c>
      <c r="E550" t="s">
        <v>11</v>
      </c>
      <c r="F550" t="s">
        <v>1404</v>
      </c>
      <c r="G550" t="s">
        <v>1405</v>
      </c>
      <c r="H550" t="s">
        <v>1406</v>
      </c>
      <c r="I550" t="s">
        <v>1400</v>
      </c>
    </row>
    <row r="551" spans="1:9" x14ac:dyDescent="0.25">
      <c r="A551" t="s">
        <v>35</v>
      </c>
      <c r="B551" t="s">
        <v>22</v>
      </c>
      <c r="C551">
        <v>388</v>
      </c>
      <c r="D551">
        <v>126</v>
      </c>
      <c r="E551" t="s">
        <v>11</v>
      </c>
      <c r="F551" t="s">
        <v>1407</v>
      </c>
      <c r="G551" t="s">
        <v>1408</v>
      </c>
      <c r="H551" t="s">
        <v>1409</v>
      </c>
      <c r="I551" t="s">
        <v>1400</v>
      </c>
    </row>
    <row r="552" spans="1:9" x14ac:dyDescent="0.25">
      <c r="A552" t="s">
        <v>35</v>
      </c>
      <c r="B552" t="s">
        <v>24</v>
      </c>
      <c r="C552">
        <v>510</v>
      </c>
      <c r="D552">
        <v>122</v>
      </c>
      <c r="E552" t="s">
        <v>11</v>
      </c>
      <c r="F552" t="s">
        <v>1410</v>
      </c>
      <c r="G552" t="s">
        <v>1411</v>
      </c>
      <c r="H552" t="s">
        <v>1412</v>
      </c>
      <c r="I552" t="s">
        <v>1400</v>
      </c>
    </row>
    <row r="553" spans="1:9" x14ac:dyDescent="0.25">
      <c r="A553" t="s">
        <v>35</v>
      </c>
      <c r="B553" t="s">
        <v>27</v>
      </c>
      <c r="C553">
        <v>638</v>
      </c>
      <c r="D553">
        <v>128</v>
      </c>
      <c r="E553" t="s">
        <v>11</v>
      </c>
      <c r="F553" t="s">
        <v>1413</v>
      </c>
      <c r="G553" t="s">
        <v>1414</v>
      </c>
      <c r="H553" t="s">
        <v>1415</v>
      </c>
      <c r="I553" t="s">
        <v>1400</v>
      </c>
    </row>
    <row r="554" spans="1:9" x14ac:dyDescent="0.25">
      <c r="A554" t="s">
        <v>35</v>
      </c>
      <c r="B554" t="s">
        <v>30</v>
      </c>
      <c r="C554">
        <v>763</v>
      </c>
      <c r="D554">
        <v>125</v>
      </c>
      <c r="E554" t="s">
        <v>11</v>
      </c>
      <c r="F554" t="s">
        <v>1416</v>
      </c>
      <c r="G554" t="s">
        <v>1417</v>
      </c>
      <c r="H554" t="s">
        <v>1418</v>
      </c>
      <c r="I554" t="s">
        <v>1400</v>
      </c>
    </row>
    <row r="555" spans="1:9" x14ac:dyDescent="0.25">
      <c r="A555" t="s">
        <v>35</v>
      </c>
      <c r="B555" t="s">
        <v>32</v>
      </c>
      <c r="C555">
        <v>890</v>
      </c>
      <c r="D555">
        <v>127</v>
      </c>
      <c r="E555" t="s">
        <v>11</v>
      </c>
      <c r="F555" t="s">
        <v>1419</v>
      </c>
      <c r="G555" t="s">
        <v>1420</v>
      </c>
      <c r="H555" t="s">
        <v>1421</v>
      </c>
      <c r="I555" t="s">
        <v>1400</v>
      </c>
    </row>
    <row r="556" spans="1:9" x14ac:dyDescent="0.25">
      <c r="A556" t="s">
        <v>35</v>
      </c>
      <c r="B556" t="s">
        <v>36</v>
      </c>
      <c r="C556">
        <v>1011</v>
      </c>
      <c r="D556">
        <v>121</v>
      </c>
      <c r="E556" t="s">
        <v>11</v>
      </c>
      <c r="F556" t="s">
        <v>1422</v>
      </c>
      <c r="G556" t="s">
        <v>1423</v>
      </c>
      <c r="H556" t="s">
        <v>1424</v>
      </c>
      <c r="I556" t="s">
        <v>1400</v>
      </c>
    </row>
    <row r="557" spans="1:9" x14ac:dyDescent="0.25">
      <c r="A557" t="s">
        <v>35</v>
      </c>
      <c r="B557" t="s">
        <v>40</v>
      </c>
      <c r="C557">
        <v>1139</v>
      </c>
      <c r="D557">
        <v>128</v>
      </c>
      <c r="E557" t="s">
        <v>11</v>
      </c>
      <c r="F557" t="s">
        <v>1425</v>
      </c>
      <c r="G557" t="s">
        <v>1426</v>
      </c>
      <c r="H557" t="s">
        <v>1427</v>
      </c>
      <c r="I557" t="s">
        <v>1400</v>
      </c>
    </row>
    <row r="558" spans="1:9" x14ac:dyDescent="0.25">
      <c r="A558" t="s">
        <v>35</v>
      </c>
      <c r="B558" t="s">
        <v>43</v>
      </c>
      <c r="C558">
        <v>1260</v>
      </c>
      <c r="D558">
        <v>121</v>
      </c>
      <c r="E558" t="s">
        <v>11</v>
      </c>
      <c r="F558" t="s">
        <v>1428</v>
      </c>
      <c r="G558" t="s">
        <v>1429</v>
      </c>
      <c r="H558" t="s">
        <v>1430</v>
      </c>
      <c r="I558" t="s">
        <v>1400</v>
      </c>
    </row>
    <row r="559" spans="1:9" x14ac:dyDescent="0.25">
      <c r="A559" t="s">
        <v>35</v>
      </c>
      <c r="B559" t="s">
        <v>47</v>
      </c>
      <c r="C559">
        <v>1388</v>
      </c>
      <c r="D559">
        <v>128</v>
      </c>
      <c r="E559" t="s">
        <v>11</v>
      </c>
      <c r="F559" t="s">
        <v>1431</v>
      </c>
      <c r="G559" t="s">
        <v>1432</v>
      </c>
      <c r="H559" t="s">
        <v>1433</v>
      </c>
      <c r="I559" t="s">
        <v>1400</v>
      </c>
    </row>
    <row r="560" spans="1:9" x14ac:dyDescent="0.25">
      <c r="A560" t="s">
        <v>35</v>
      </c>
      <c r="B560" t="s">
        <v>50</v>
      </c>
      <c r="C560">
        <v>1512</v>
      </c>
      <c r="D560">
        <v>124</v>
      </c>
      <c r="E560" t="s">
        <v>11</v>
      </c>
      <c r="F560" t="s">
        <v>1434</v>
      </c>
      <c r="G560" t="s">
        <v>1435</v>
      </c>
      <c r="H560" t="s">
        <v>1436</v>
      </c>
      <c r="I560" t="s">
        <v>1400</v>
      </c>
    </row>
    <row r="561" spans="1:9" x14ac:dyDescent="0.25">
      <c r="A561" t="s">
        <v>35</v>
      </c>
      <c r="B561" t="s">
        <v>343</v>
      </c>
      <c r="C561">
        <v>1638</v>
      </c>
      <c r="D561">
        <v>126</v>
      </c>
      <c r="E561" t="s">
        <v>11</v>
      </c>
      <c r="F561" t="s">
        <v>1437</v>
      </c>
      <c r="G561" t="s">
        <v>1438</v>
      </c>
      <c r="H561" t="s">
        <v>1439</v>
      </c>
      <c r="I561" t="s">
        <v>1400</v>
      </c>
    </row>
    <row r="562" spans="1:9" x14ac:dyDescent="0.25">
      <c r="A562" t="s">
        <v>35</v>
      </c>
      <c r="B562" t="s">
        <v>1262</v>
      </c>
      <c r="C562">
        <v>1763</v>
      </c>
      <c r="D562">
        <v>125</v>
      </c>
      <c r="E562" t="s">
        <v>11</v>
      </c>
      <c r="F562" t="s">
        <v>1440</v>
      </c>
      <c r="G562" t="s">
        <v>1441</v>
      </c>
      <c r="H562" t="s">
        <v>1442</v>
      </c>
      <c r="I562" t="s">
        <v>1400</v>
      </c>
    </row>
    <row r="563" spans="1:9" x14ac:dyDescent="0.25">
      <c r="A563" t="s">
        <v>35</v>
      </c>
      <c r="B563" t="s">
        <v>1265</v>
      </c>
      <c r="C563">
        <v>1891</v>
      </c>
      <c r="D563">
        <v>128</v>
      </c>
      <c r="E563" t="s">
        <v>11</v>
      </c>
      <c r="F563" t="s">
        <v>1443</v>
      </c>
      <c r="G563" t="s">
        <v>1444</v>
      </c>
      <c r="H563" t="s">
        <v>1445</v>
      </c>
      <c r="I563" t="s">
        <v>1400</v>
      </c>
    </row>
    <row r="564" spans="1:9" x14ac:dyDescent="0.25">
      <c r="A564" t="s">
        <v>35</v>
      </c>
      <c r="B564" t="s">
        <v>1269</v>
      </c>
      <c r="C564">
        <v>2015</v>
      </c>
      <c r="D564">
        <v>124</v>
      </c>
      <c r="E564" t="s">
        <v>11</v>
      </c>
      <c r="F564" t="s">
        <v>1446</v>
      </c>
      <c r="G564" t="s">
        <v>1447</v>
      </c>
      <c r="H564" t="s">
        <v>1448</v>
      </c>
      <c r="I564" t="s">
        <v>1400</v>
      </c>
    </row>
    <row r="565" spans="1:9" x14ac:dyDescent="0.25">
      <c r="A565" t="s">
        <v>35</v>
      </c>
      <c r="B565" t="s">
        <v>1272</v>
      </c>
      <c r="C565">
        <v>2143</v>
      </c>
      <c r="D565">
        <v>128</v>
      </c>
      <c r="E565" t="s">
        <v>11</v>
      </c>
      <c r="F565" t="s">
        <v>1449</v>
      </c>
      <c r="G565" t="s">
        <v>1450</v>
      </c>
      <c r="H565" t="s">
        <v>1451</v>
      </c>
      <c r="I565" t="s">
        <v>1400</v>
      </c>
    </row>
    <row r="566" spans="1:9" x14ac:dyDescent="0.25">
      <c r="A566" t="s">
        <v>35</v>
      </c>
      <c r="B566" t="s">
        <v>1276</v>
      </c>
      <c r="C566">
        <v>2267</v>
      </c>
      <c r="D566">
        <v>124</v>
      </c>
      <c r="E566" t="s">
        <v>11</v>
      </c>
      <c r="F566" t="s">
        <v>1452</v>
      </c>
      <c r="G566" t="s">
        <v>1453</v>
      </c>
      <c r="H566" t="s">
        <v>1454</v>
      </c>
      <c r="I566" t="s">
        <v>1400</v>
      </c>
    </row>
    <row r="567" spans="1:9" x14ac:dyDescent="0.25">
      <c r="A567" t="s">
        <v>35</v>
      </c>
      <c r="B567" t="s">
        <v>1279</v>
      </c>
      <c r="C567">
        <v>2394</v>
      </c>
      <c r="D567">
        <v>127</v>
      </c>
      <c r="E567" t="s">
        <v>11</v>
      </c>
      <c r="F567" t="s">
        <v>1455</v>
      </c>
      <c r="G567" t="s">
        <v>1456</v>
      </c>
      <c r="H567" t="s">
        <v>1457</v>
      </c>
      <c r="I567" t="s">
        <v>1400</v>
      </c>
    </row>
    <row r="568" spans="1:9" x14ac:dyDescent="0.25">
      <c r="A568" t="s">
        <v>35</v>
      </c>
      <c r="B568" t="s">
        <v>1458</v>
      </c>
      <c r="C568">
        <v>2515</v>
      </c>
      <c r="D568">
        <v>121</v>
      </c>
      <c r="E568" t="s">
        <v>11</v>
      </c>
      <c r="F568" t="s">
        <v>1459</v>
      </c>
      <c r="G568" t="s">
        <v>1460</v>
      </c>
      <c r="H568" t="s">
        <v>1461</v>
      </c>
      <c r="I568" t="s">
        <v>1400</v>
      </c>
    </row>
    <row r="569" spans="1:9" x14ac:dyDescent="0.25">
      <c r="A569" t="s">
        <v>35</v>
      </c>
      <c r="B569" t="s">
        <v>1462</v>
      </c>
      <c r="C569">
        <v>2643</v>
      </c>
      <c r="D569">
        <v>128</v>
      </c>
      <c r="E569" t="s">
        <v>11</v>
      </c>
      <c r="F569" t="s">
        <v>1463</v>
      </c>
      <c r="G569" t="s">
        <v>1464</v>
      </c>
      <c r="H569" t="s">
        <v>1465</v>
      </c>
      <c r="I569" t="s">
        <v>1400</v>
      </c>
    </row>
    <row r="570" spans="1:9" x14ac:dyDescent="0.25">
      <c r="A570" t="s">
        <v>35</v>
      </c>
      <c r="B570" t="s">
        <v>1466</v>
      </c>
      <c r="C570">
        <v>2765</v>
      </c>
      <c r="D570">
        <v>122</v>
      </c>
      <c r="E570" t="s">
        <v>11</v>
      </c>
      <c r="F570" t="s">
        <v>1467</v>
      </c>
      <c r="G570" t="s">
        <v>1468</v>
      </c>
      <c r="H570" t="s">
        <v>1469</v>
      </c>
      <c r="I570" t="s">
        <v>1400</v>
      </c>
    </row>
    <row r="571" spans="1:9" x14ac:dyDescent="0.25">
      <c r="A571" t="s">
        <v>35</v>
      </c>
      <c r="B571" t="s">
        <v>1470</v>
      </c>
      <c r="C571">
        <v>2891</v>
      </c>
      <c r="D571">
        <v>126</v>
      </c>
      <c r="E571" t="s">
        <v>11</v>
      </c>
      <c r="F571" t="s">
        <v>1471</v>
      </c>
      <c r="G571" t="s">
        <v>1472</v>
      </c>
      <c r="H571" t="s">
        <v>1473</v>
      </c>
      <c r="I571" t="s">
        <v>1400</v>
      </c>
    </row>
    <row r="572" spans="1:9" x14ac:dyDescent="0.25">
      <c r="A572" t="s">
        <v>35</v>
      </c>
      <c r="B572" t="s">
        <v>1474</v>
      </c>
      <c r="C572">
        <v>3016</v>
      </c>
      <c r="D572">
        <v>125</v>
      </c>
      <c r="E572" t="s">
        <v>11</v>
      </c>
      <c r="F572" t="s">
        <v>1475</v>
      </c>
      <c r="G572" t="s">
        <v>1476</v>
      </c>
      <c r="H572" t="s">
        <v>1477</v>
      </c>
      <c r="I572" t="s">
        <v>1400</v>
      </c>
    </row>
    <row r="573" spans="1:9" x14ac:dyDescent="0.25">
      <c r="A573" t="s">
        <v>35</v>
      </c>
      <c r="B573" t="s">
        <v>1478</v>
      </c>
      <c r="C573">
        <v>3142</v>
      </c>
      <c r="D573">
        <v>126</v>
      </c>
      <c r="E573" t="s">
        <v>11</v>
      </c>
      <c r="F573" t="s">
        <v>1479</v>
      </c>
      <c r="G573" t="s">
        <v>1480</v>
      </c>
      <c r="H573" t="s">
        <v>1481</v>
      </c>
      <c r="I573" t="s">
        <v>1400</v>
      </c>
    </row>
    <row r="574" spans="1:9" x14ac:dyDescent="0.25">
      <c r="A574" t="s">
        <v>35</v>
      </c>
      <c r="B574" t="s">
        <v>1482</v>
      </c>
      <c r="C574">
        <v>3264</v>
      </c>
      <c r="D574">
        <v>122</v>
      </c>
      <c r="E574" t="s">
        <v>11</v>
      </c>
      <c r="F574" t="s">
        <v>1483</v>
      </c>
      <c r="G574" t="s">
        <v>1484</v>
      </c>
      <c r="H574" t="s">
        <v>1485</v>
      </c>
      <c r="I574" t="s">
        <v>1400</v>
      </c>
    </row>
    <row r="575" spans="1:9" x14ac:dyDescent="0.25">
      <c r="A575" t="s">
        <v>35</v>
      </c>
      <c r="B575" t="s">
        <v>1486</v>
      </c>
      <c r="C575">
        <v>3392</v>
      </c>
      <c r="D575">
        <v>128</v>
      </c>
      <c r="E575" t="s">
        <v>11</v>
      </c>
      <c r="F575" t="s">
        <v>1487</v>
      </c>
      <c r="G575" t="s">
        <v>1488</v>
      </c>
      <c r="H575" t="s">
        <v>1489</v>
      </c>
      <c r="I575" t="s">
        <v>1400</v>
      </c>
    </row>
    <row r="576" spans="1:9" x14ac:dyDescent="0.25">
      <c r="A576" t="s">
        <v>35</v>
      </c>
      <c r="B576" t="s">
        <v>1490</v>
      </c>
      <c r="C576">
        <v>3516</v>
      </c>
      <c r="D576">
        <v>124</v>
      </c>
      <c r="E576" t="s">
        <v>11</v>
      </c>
      <c r="F576" t="s">
        <v>1491</v>
      </c>
      <c r="G576" t="s">
        <v>1492</v>
      </c>
      <c r="H576" t="s">
        <v>1493</v>
      </c>
      <c r="I576" t="s">
        <v>1400</v>
      </c>
    </row>
    <row r="577" spans="1:9" x14ac:dyDescent="0.25">
      <c r="A577" t="s">
        <v>35</v>
      </c>
      <c r="B577" t="s">
        <v>1494</v>
      </c>
      <c r="C577">
        <v>3644</v>
      </c>
      <c r="D577">
        <v>128</v>
      </c>
      <c r="E577" t="s">
        <v>11</v>
      </c>
      <c r="F577" t="s">
        <v>1495</v>
      </c>
      <c r="G577" t="s">
        <v>1496</v>
      </c>
      <c r="H577" t="s">
        <v>1497</v>
      </c>
      <c r="I577" t="s">
        <v>1400</v>
      </c>
    </row>
    <row r="578" spans="1:9" x14ac:dyDescent="0.25">
      <c r="A578" t="s">
        <v>35</v>
      </c>
      <c r="B578" t="s">
        <v>1498</v>
      </c>
      <c r="C578">
        <v>3769</v>
      </c>
      <c r="D578">
        <v>125</v>
      </c>
      <c r="E578" t="s">
        <v>11</v>
      </c>
      <c r="F578" t="s">
        <v>1499</v>
      </c>
      <c r="G578" t="s">
        <v>1500</v>
      </c>
      <c r="H578" t="s">
        <v>1501</v>
      </c>
      <c r="I578" t="s">
        <v>1400</v>
      </c>
    </row>
    <row r="579" spans="1:9" x14ac:dyDescent="0.25">
      <c r="A579" t="s">
        <v>35</v>
      </c>
      <c r="B579" t="s">
        <v>1502</v>
      </c>
      <c r="C579">
        <v>3897</v>
      </c>
      <c r="D579">
        <v>128</v>
      </c>
      <c r="E579" t="s">
        <v>11</v>
      </c>
      <c r="F579" t="s">
        <v>1503</v>
      </c>
      <c r="G579" t="s">
        <v>1504</v>
      </c>
      <c r="H579" t="s">
        <v>1505</v>
      </c>
      <c r="I579" t="s">
        <v>1400</v>
      </c>
    </row>
    <row r="580" spans="1:9" x14ac:dyDescent="0.25">
      <c r="A580" t="s">
        <v>35</v>
      </c>
      <c r="B580" t="s">
        <v>1506</v>
      </c>
      <c r="C580">
        <v>4018</v>
      </c>
      <c r="D580">
        <v>121</v>
      </c>
      <c r="E580" t="s">
        <v>11</v>
      </c>
      <c r="F580" t="s">
        <v>1507</v>
      </c>
      <c r="G580" t="s">
        <v>1508</v>
      </c>
      <c r="H580" t="s">
        <v>1509</v>
      </c>
      <c r="I580" t="s">
        <v>1400</v>
      </c>
    </row>
    <row r="581" spans="1:9" x14ac:dyDescent="0.25">
      <c r="A581" t="s">
        <v>35</v>
      </c>
      <c r="B581" t="s">
        <v>1510</v>
      </c>
      <c r="C581">
        <v>4146</v>
      </c>
      <c r="D581">
        <v>128</v>
      </c>
      <c r="E581" t="s">
        <v>11</v>
      </c>
      <c r="F581" t="s">
        <v>1511</v>
      </c>
      <c r="G581" t="s">
        <v>1512</v>
      </c>
      <c r="H581" t="s">
        <v>1513</v>
      </c>
      <c r="I581" t="s">
        <v>1400</v>
      </c>
    </row>
    <row r="582" spans="1:9" x14ac:dyDescent="0.25">
      <c r="A582" t="s">
        <v>35</v>
      </c>
      <c r="B582" t="s">
        <v>1514</v>
      </c>
      <c r="C582">
        <v>4270</v>
      </c>
      <c r="D582">
        <v>124</v>
      </c>
      <c r="E582" t="s">
        <v>11</v>
      </c>
      <c r="F582" t="s">
        <v>1515</v>
      </c>
      <c r="G582" t="s">
        <v>1516</v>
      </c>
      <c r="H582" t="s">
        <v>1517</v>
      </c>
      <c r="I582" t="s">
        <v>1400</v>
      </c>
    </row>
    <row r="583" spans="1:9" x14ac:dyDescent="0.25">
      <c r="A583" t="s">
        <v>35</v>
      </c>
      <c r="B583" t="s">
        <v>1518</v>
      </c>
      <c r="C583">
        <v>4396</v>
      </c>
      <c r="D583">
        <v>126</v>
      </c>
      <c r="E583" t="s">
        <v>11</v>
      </c>
      <c r="F583" t="s">
        <v>1519</v>
      </c>
      <c r="G583" t="s">
        <v>1520</v>
      </c>
      <c r="H583" t="s">
        <v>1521</v>
      </c>
      <c r="I583" t="s">
        <v>1400</v>
      </c>
    </row>
    <row r="584" spans="1:9" x14ac:dyDescent="0.25">
      <c r="A584" t="s">
        <v>35</v>
      </c>
      <c r="B584" t="s">
        <v>1522</v>
      </c>
      <c r="C584">
        <v>4521</v>
      </c>
      <c r="D584">
        <v>125</v>
      </c>
      <c r="E584" t="s">
        <v>11</v>
      </c>
      <c r="F584" t="s">
        <v>1523</v>
      </c>
      <c r="G584" t="s">
        <v>1524</v>
      </c>
      <c r="H584" t="s">
        <v>1525</v>
      </c>
      <c r="I584" t="s">
        <v>1400</v>
      </c>
    </row>
    <row r="585" spans="1:9" x14ac:dyDescent="0.25">
      <c r="A585" t="s">
        <v>35</v>
      </c>
      <c r="B585" t="s">
        <v>1526</v>
      </c>
      <c r="C585">
        <v>4647</v>
      </c>
      <c r="D585">
        <v>126</v>
      </c>
      <c r="E585" t="s">
        <v>11</v>
      </c>
      <c r="F585" t="s">
        <v>1527</v>
      </c>
      <c r="G585" t="s">
        <v>1528</v>
      </c>
      <c r="H585" t="s">
        <v>1529</v>
      </c>
      <c r="I585" t="s">
        <v>1400</v>
      </c>
    </row>
    <row r="586" spans="1:9" x14ac:dyDescent="0.25">
      <c r="A586" t="s">
        <v>35</v>
      </c>
      <c r="B586" t="s">
        <v>1530</v>
      </c>
      <c r="C586">
        <v>4770</v>
      </c>
      <c r="D586">
        <v>123</v>
      </c>
      <c r="E586" t="s">
        <v>11</v>
      </c>
      <c r="F586" t="s">
        <v>1531</v>
      </c>
      <c r="G586" t="s">
        <v>1532</v>
      </c>
      <c r="H586" t="s">
        <v>1533</v>
      </c>
      <c r="I586" t="s">
        <v>1400</v>
      </c>
    </row>
    <row r="587" spans="1:9" x14ac:dyDescent="0.25">
      <c r="A587" t="s">
        <v>9</v>
      </c>
      <c r="B587" t="s">
        <v>134</v>
      </c>
      <c r="C587">
        <v>32</v>
      </c>
      <c r="D587">
        <v>124</v>
      </c>
      <c r="E587" t="s">
        <v>11</v>
      </c>
      <c r="F587" t="s">
        <v>1534</v>
      </c>
      <c r="G587" t="s">
        <v>13</v>
      </c>
      <c r="H587" t="s">
        <v>1535</v>
      </c>
      <c r="I587" t="s">
        <v>1536</v>
      </c>
    </row>
    <row r="588" spans="1:9" x14ac:dyDescent="0.25">
      <c r="A588" t="s">
        <v>35</v>
      </c>
      <c r="B588" t="s">
        <v>138</v>
      </c>
      <c r="C588">
        <v>159</v>
      </c>
      <c r="D588">
        <v>127</v>
      </c>
      <c r="E588" t="s">
        <v>11</v>
      </c>
      <c r="F588" t="s">
        <v>1537</v>
      </c>
      <c r="G588" t="s">
        <v>1538</v>
      </c>
      <c r="H588" t="s">
        <v>1539</v>
      </c>
      <c r="I588" t="s">
        <v>1536</v>
      </c>
    </row>
    <row r="589" spans="1:9" x14ac:dyDescent="0.25">
      <c r="A589" t="s">
        <v>35</v>
      </c>
      <c r="B589" t="s">
        <v>141</v>
      </c>
      <c r="C589">
        <v>283</v>
      </c>
      <c r="D589">
        <v>124</v>
      </c>
      <c r="E589" t="s">
        <v>11</v>
      </c>
      <c r="F589" t="s">
        <v>1540</v>
      </c>
      <c r="G589" t="s">
        <v>1541</v>
      </c>
      <c r="H589" t="s">
        <v>1542</v>
      </c>
      <c r="I589" t="s">
        <v>1536</v>
      </c>
    </row>
    <row r="590" spans="1:9" x14ac:dyDescent="0.25">
      <c r="A590" t="s">
        <v>35</v>
      </c>
      <c r="B590" t="s">
        <v>144</v>
      </c>
      <c r="C590">
        <v>409</v>
      </c>
      <c r="D590">
        <v>126</v>
      </c>
      <c r="E590" t="s">
        <v>11</v>
      </c>
      <c r="F590" t="s">
        <v>1543</v>
      </c>
      <c r="G590" t="s">
        <v>1544</v>
      </c>
      <c r="H590" t="s">
        <v>1545</v>
      </c>
      <c r="I590" t="s">
        <v>1536</v>
      </c>
    </row>
    <row r="591" spans="1:9" x14ac:dyDescent="0.25">
      <c r="A591" t="s">
        <v>35</v>
      </c>
      <c r="B591" t="s">
        <v>147</v>
      </c>
      <c r="C591">
        <v>532</v>
      </c>
      <c r="D591">
        <v>123</v>
      </c>
      <c r="E591" t="s">
        <v>11</v>
      </c>
      <c r="F591" t="s">
        <v>1546</v>
      </c>
      <c r="G591" t="s">
        <v>1547</v>
      </c>
      <c r="H591" t="s">
        <v>1548</v>
      </c>
      <c r="I591" t="s">
        <v>1536</v>
      </c>
    </row>
    <row r="592" spans="1:9" x14ac:dyDescent="0.25">
      <c r="A592" t="s">
        <v>35</v>
      </c>
      <c r="B592" t="s">
        <v>150</v>
      </c>
      <c r="C592">
        <v>659</v>
      </c>
      <c r="D592">
        <v>127</v>
      </c>
      <c r="E592" t="s">
        <v>11</v>
      </c>
      <c r="F592" t="s">
        <v>1549</v>
      </c>
      <c r="G592" t="s">
        <v>1550</v>
      </c>
      <c r="H592" t="s">
        <v>1551</v>
      </c>
      <c r="I592" t="s">
        <v>1536</v>
      </c>
    </row>
    <row r="593" spans="1:9" x14ac:dyDescent="0.25">
      <c r="A593" t="s">
        <v>35</v>
      </c>
      <c r="B593" t="s">
        <v>152</v>
      </c>
      <c r="C593">
        <v>785</v>
      </c>
      <c r="D593">
        <v>126</v>
      </c>
      <c r="E593" t="s">
        <v>11</v>
      </c>
      <c r="F593" t="s">
        <v>1552</v>
      </c>
      <c r="G593" t="s">
        <v>1553</v>
      </c>
      <c r="H593" t="s">
        <v>1554</v>
      </c>
      <c r="I593" t="s">
        <v>1536</v>
      </c>
    </row>
    <row r="594" spans="1:9" x14ac:dyDescent="0.25">
      <c r="A594" t="s">
        <v>35</v>
      </c>
      <c r="B594" t="s">
        <v>154</v>
      </c>
      <c r="C594">
        <v>910</v>
      </c>
      <c r="D594">
        <v>125</v>
      </c>
      <c r="E594" t="s">
        <v>11</v>
      </c>
      <c r="F594" t="s">
        <v>1555</v>
      </c>
      <c r="G594" t="s">
        <v>1556</v>
      </c>
      <c r="H594" t="s">
        <v>1557</v>
      </c>
      <c r="I594" t="s">
        <v>1536</v>
      </c>
    </row>
    <row r="595" spans="1:9" x14ac:dyDescent="0.25">
      <c r="A595" t="s">
        <v>35</v>
      </c>
      <c r="B595" t="s">
        <v>157</v>
      </c>
      <c r="C595">
        <v>1032</v>
      </c>
      <c r="D595">
        <v>122</v>
      </c>
      <c r="E595" t="s">
        <v>11</v>
      </c>
      <c r="F595" t="s">
        <v>1558</v>
      </c>
      <c r="G595" t="s">
        <v>1559</v>
      </c>
      <c r="H595" t="s">
        <v>1560</v>
      </c>
      <c r="I595" t="s">
        <v>1536</v>
      </c>
    </row>
    <row r="596" spans="1:9" x14ac:dyDescent="0.25">
      <c r="A596" t="s">
        <v>35</v>
      </c>
      <c r="B596" t="s">
        <v>160</v>
      </c>
      <c r="C596">
        <v>1158</v>
      </c>
      <c r="D596">
        <v>126</v>
      </c>
      <c r="E596" t="s">
        <v>11</v>
      </c>
      <c r="F596" t="s">
        <v>1561</v>
      </c>
      <c r="G596" t="s">
        <v>1562</v>
      </c>
      <c r="H596" t="s">
        <v>1563</v>
      </c>
      <c r="I596" t="s">
        <v>1536</v>
      </c>
    </row>
    <row r="597" spans="1:9" x14ac:dyDescent="0.25">
      <c r="A597" t="s">
        <v>35</v>
      </c>
      <c r="B597" t="s">
        <v>162</v>
      </c>
      <c r="C597">
        <v>1281</v>
      </c>
      <c r="D597">
        <v>123</v>
      </c>
      <c r="E597" t="s">
        <v>11</v>
      </c>
      <c r="F597" t="s">
        <v>1564</v>
      </c>
      <c r="G597" t="s">
        <v>1565</v>
      </c>
      <c r="H597" t="s">
        <v>1566</v>
      </c>
      <c r="I597" t="s">
        <v>1536</v>
      </c>
    </row>
    <row r="598" spans="1:9" x14ac:dyDescent="0.25">
      <c r="A598" t="s">
        <v>35</v>
      </c>
      <c r="B598" t="s">
        <v>164</v>
      </c>
      <c r="C598">
        <v>1409</v>
      </c>
      <c r="D598">
        <v>128</v>
      </c>
      <c r="E598" t="s">
        <v>11</v>
      </c>
      <c r="F598" t="s">
        <v>1567</v>
      </c>
      <c r="G598" t="s">
        <v>1568</v>
      </c>
      <c r="H598" t="s">
        <v>1569</v>
      </c>
      <c r="I598" t="s">
        <v>1536</v>
      </c>
    </row>
    <row r="599" spans="1:9" x14ac:dyDescent="0.25">
      <c r="A599" t="s">
        <v>35</v>
      </c>
      <c r="B599" t="s">
        <v>167</v>
      </c>
      <c r="C599">
        <v>1532</v>
      </c>
      <c r="D599">
        <v>123</v>
      </c>
      <c r="E599" t="s">
        <v>11</v>
      </c>
      <c r="F599" t="s">
        <v>1570</v>
      </c>
      <c r="G599" t="s">
        <v>1571</v>
      </c>
      <c r="H599" t="s">
        <v>1572</v>
      </c>
      <c r="I599" t="s">
        <v>1536</v>
      </c>
    </row>
    <row r="600" spans="1:9" x14ac:dyDescent="0.25">
      <c r="A600" t="s">
        <v>35</v>
      </c>
      <c r="B600" t="s">
        <v>169</v>
      </c>
      <c r="C600">
        <v>1660</v>
      </c>
      <c r="D600">
        <v>128</v>
      </c>
      <c r="E600" t="s">
        <v>11</v>
      </c>
      <c r="F600" t="s">
        <v>1573</v>
      </c>
      <c r="G600" t="s">
        <v>1571</v>
      </c>
      <c r="H600" t="s">
        <v>1574</v>
      </c>
      <c r="I600" t="s">
        <v>1536</v>
      </c>
    </row>
    <row r="601" spans="1:9" x14ac:dyDescent="0.25">
      <c r="A601" t="s">
        <v>9</v>
      </c>
      <c r="B601" t="s">
        <v>10</v>
      </c>
      <c r="C601">
        <v>11</v>
      </c>
      <c r="D601">
        <v>124</v>
      </c>
      <c r="E601" t="s">
        <v>11</v>
      </c>
      <c r="F601" t="s">
        <v>1575</v>
      </c>
      <c r="G601" t="s">
        <v>13</v>
      </c>
      <c r="H601" t="s">
        <v>1576</v>
      </c>
      <c r="I601" t="s">
        <v>1577</v>
      </c>
    </row>
    <row r="602" spans="1:9" x14ac:dyDescent="0.25">
      <c r="A602" t="s">
        <v>9</v>
      </c>
      <c r="B602" t="s">
        <v>16</v>
      </c>
      <c r="C602">
        <v>137</v>
      </c>
      <c r="D602">
        <v>126</v>
      </c>
      <c r="E602" t="s">
        <v>11</v>
      </c>
      <c r="F602" t="s">
        <v>1578</v>
      </c>
      <c r="G602" t="s">
        <v>13</v>
      </c>
      <c r="H602" t="s">
        <v>1579</v>
      </c>
      <c r="I602" t="s">
        <v>1577</v>
      </c>
    </row>
    <row r="603" spans="1:9" x14ac:dyDescent="0.25">
      <c r="A603" t="s">
        <v>9</v>
      </c>
      <c r="B603" t="s">
        <v>19</v>
      </c>
      <c r="C603">
        <v>262</v>
      </c>
      <c r="D603">
        <v>125</v>
      </c>
      <c r="E603" t="s">
        <v>11</v>
      </c>
      <c r="F603" t="s">
        <v>1580</v>
      </c>
      <c r="G603" t="s">
        <v>13</v>
      </c>
      <c r="H603" t="s">
        <v>1581</v>
      </c>
      <c r="I603" t="s">
        <v>1577</v>
      </c>
    </row>
    <row r="604" spans="1:9" x14ac:dyDescent="0.25">
      <c r="A604" t="s">
        <v>35</v>
      </c>
      <c r="B604" t="s">
        <v>22</v>
      </c>
      <c r="C604">
        <v>388</v>
      </c>
      <c r="D604">
        <v>126</v>
      </c>
      <c r="E604" t="s">
        <v>11</v>
      </c>
      <c r="F604" t="s">
        <v>1578</v>
      </c>
      <c r="G604" t="s">
        <v>1582</v>
      </c>
      <c r="H604" t="s">
        <v>1583</v>
      </c>
      <c r="I604" t="s">
        <v>1577</v>
      </c>
    </row>
    <row r="605" spans="1:9" x14ac:dyDescent="0.25">
      <c r="A605" t="s">
        <v>9</v>
      </c>
      <c r="B605" t="s">
        <v>24</v>
      </c>
      <c r="C605">
        <v>510</v>
      </c>
      <c r="D605">
        <v>122</v>
      </c>
      <c r="E605" t="s">
        <v>11</v>
      </c>
      <c r="F605" t="s">
        <v>1584</v>
      </c>
      <c r="G605" t="s">
        <v>13</v>
      </c>
      <c r="H605" t="s">
        <v>1585</v>
      </c>
      <c r="I605" t="s">
        <v>1577</v>
      </c>
    </row>
    <row r="606" spans="1:9" x14ac:dyDescent="0.25">
      <c r="A606" t="s">
        <v>35</v>
      </c>
      <c r="B606" t="s">
        <v>27</v>
      </c>
      <c r="C606">
        <v>638</v>
      </c>
      <c r="D606">
        <v>128</v>
      </c>
      <c r="E606" t="s">
        <v>11</v>
      </c>
      <c r="F606" t="s">
        <v>1586</v>
      </c>
      <c r="G606" t="s">
        <v>1582</v>
      </c>
      <c r="H606" t="s">
        <v>1587</v>
      </c>
      <c r="I606" t="s">
        <v>1577</v>
      </c>
    </row>
    <row r="607" spans="1:9" x14ac:dyDescent="0.25">
      <c r="A607" t="s">
        <v>9</v>
      </c>
      <c r="B607" t="s">
        <v>268</v>
      </c>
      <c r="C607">
        <v>93</v>
      </c>
      <c r="D607">
        <v>123</v>
      </c>
      <c r="E607" t="s">
        <v>11</v>
      </c>
      <c r="F607" t="s">
        <v>1588</v>
      </c>
      <c r="G607" t="s">
        <v>13</v>
      </c>
      <c r="H607" t="s">
        <v>1589</v>
      </c>
      <c r="I607" t="s">
        <v>1590</v>
      </c>
    </row>
    <row r="608" spans="1:9" x14ac:dyDescent="0.25">
      <c r="A608" t="s">
        <v>9</v>
      </c>
      <c r="B608" t="s">
        <v>271</v>
      </c>
      <c r="C608">
        <v>222</v>
      </c>
      <c r="D608">
        <v>129</v>
      </c>
      <c r="E608" t="s">
        <v>11</v>
      </c>
      <c r="F608" t="s">
        <v>1591</v>
      </c>
      <c r="G608" t="s">
        <v>13</v>
      </c>
      <c r="H608" t="s">
        <v>1592</v>
      </c>
      <c r="I608" t="s">
        <v>1590</v>
      </c>
    </row>
    <row r="609" spans="1:9" x14ac:dyDescent="0.25">
      <c r="A609" t="s">
        <v>9</v>
      </c>
      <c r="B609" t="s">
        <v>273</v>
      </c>
      <c r="C609">
        <v>345</v>
      </c>
      <c r="D609">
        <v>123</v>
      </c>
      <c r="E609" t="s">
        <v>11</v>
      </c>
      <c r="F609" t="s">
        <v>1588</v>
      </c>
      <c r="G609" t="s">
        <v>13</v>
      </c>
      <c r="H609" t="s">
        <v>1593</v>
      </c>
      <c r="I609" t="s">
        <v>1590</v>
      </c>
    </row>
    <row r="610" spans="1:9" x14ac:dyDescent="0.25">
      <c r="A610" t="s">
        <v>9</v>
      </c>
      <c r="B610" t="s">
        <v>275</v>
      </c>
      <c r="C610">
        <v>471</v>
      </c>
      <c r="D610">
        <v>126</v>
      </c>
      <c r="E610" t="s">
        <v>11</v>
      </c>
      <c r="F610" t="s">
        <v>1594</v>
      </c>
      <c r="G610" t="s">
        <v>13</v>
      </c>
      <c r="H610" t="s">
        <v>1595</v>
      </c>
      <c r="I610" t="s">
        <v>1590</v>
      </c>
    </row>
    <row r="611" spans="1:9" x14ac:dyDescent="0.25">
      <c r="A611" t="s">
        <v>9</v>
      </c>
      <c r="B611" t="s">
        <v>277</v>
      </c>
      <c r="C611">
        <v>595</v>
      </c>
      <c r="D611">
        <v>124</v>
      </c>
      <c r="E611" t="s">
        <v>11</v>
      </c>
      <c r="F611" t="s">
        <v>1596</v>
      </c>
      <c r="G611" t="s">
        <v>13</v>
      </c>
      <c r="H611" t="s">
        <v>1597</v>
      </c>
      <c r="I611" t="s">
        <v>1590</v>
      </c>
    </row>
    <row r="612" spans="1:9" x14ac:dyDescent="0.25">
      <c r="A612" t="s">
        <v>9</v>
      </c>
      <c r="B612" t="s">
        <v>280</v>
      </c>
      <c r="C612">
        <v>723</v>
      </c>
      <c r="D612">
        <v>128</v>
      </c>
      <c r="E612" t="s">
        <v>11</v>
      </c>
      <c r="F612" t="s">
        <v>1598</v>
      </c>
      <c r="G612" t="s">
        <v>13</v>
      </c>
      <c r="H612" t="s">
        <v>1599</v>
      </c>
      <c r="I612" t="s">
        <v>1590</v>
      </c>
    </row>
    <row r="613" spans="1:9" x14ac:dyDescent="0.25">
      <c r="A613" t="s">
        <v>9</v>
      </c>
      <c r="B613" t="s">
        <v>283</v>
      </c>
      <c r="C613">
        <v>847</v>
      </c>
      <c r="D613">
        <v>124</v>
      </c>
      <c r="E613" t="s">
        <v>11</v>
      </c>
      <c r="F613" t="s">
        <v>1596</v>
      </c>
      <c r="G613" t="s">
        <v>13</v>
      </c>
      <c r="H613" t="s">
        <v>1600</v>
      </c>
      <c r="I613" t="s">
        <v>1590</v>
      </c>
    </row>
    <row r="614" spans="1:9" x14ac:dyDescent="0.25">
      <c r="A614" t="s">
        <v>9</v>
      </c>
      <c r="B614" t="s">
        <v>286</v>
      </c>
      <c r="C614">
        <v>970</v>
      </c>
      <c r="D614">
        <v>123</v>
      </c>
      <c r="E614" t="s">
        <v>11</v>
      </c>
      <c r="F614" t="s">
        <v>1588</v>
      </c>
      <c r="G614" t="s">
        <v>13</v>
      </c>
      <c r="H614" t="s">
        <v>1601</v>
      </c>
      <c r="I614" t="s">
        <v>1590</v>
      </c>
    </row>
    <row r="615" spans="1:9" x14ac:dyDescent="0.25">
      <c r="A615" t="s">
        <v>35</v>
      </c>
      <c r="B615" t="s">
        <v>289</v>
      </c>
      <c r="C615">
        <v>1095</v>
      </c>
      <c r="D615">
        <v>125</v>
      </c>
      <c r="E615" t="s">
        <v>11</v>
      </c>
      <c r="F615" t="s">
        <v>1602</v>
      </c>
      <c r="G615" t="s">
        <v>1603</v>
      </c>
      <c r="H615" t="s">
        <v>1604</v>
      </c>
      <c r="I615" t="s">
        <v>1590</v>
      </c>
    </row>
    <row r="616" spans="1:9" x14ac:dyDescent="0.25">
      <c r="A616" t="s">
        <v>9</v>
      </c>
      <c r="B616" t="s">
        <v>292</v>
      </c>
      <c r="C616">
        <v>1219</v>
      </c>
      <c r="D616">
        <v>124</v>
      </c>
      <c r="E616" t="s">
        <v>11</v>
      </c>
      <c r="F616" t="s">
        <v>1605</v>
      </c>
      <c r="G616" t="s">
        <v>13</v>
      </c>
      <c r="H616" t="s">
        <v>1606</v>
      </c>
      <c r="I616" t="s">
        <v>1590</v>
      </c>
    </row>
    <row r="617" spans="1:9" x14ac:dyDescent="0.25">
      <c r="A617" t="s">
        <v>35</v>
      </c>
      <c r="B617" t="s">
        <v>295</v>
      </c>
      <c r="C617">
        <v>1343</v>
      </c>
      <c r="D617">
        <v>124</v>
      </c>
      <c r="E617" t="s">
        <v>11</v>
      </c>
      <c r="F617" t="s">
        <v>1605</v>
      </c>
      <c r="G617" t="s">
        <v>1607</v>
      </c>
      <c r="H617" t="s">
        <v>1608</v>
      </c>
      <c r="I617" t="s">
        <v>1590</v>
      </c>
    </row>
    <row r="618" spans="1:9" x14ac:dyDescent="0.25">
      <c r="A618" t="s">
        <v>9</v>
      </c>
      <c r="B618" t="s">
        <v>298</v>
      </c>
      <c r="C618">
        <v>1471</v>
      </c>
      <c r="D618">
        <v>128</v>
      </c>
      <c r="E618" t="s">
        <v>11</v>
      </c>
      <c r="F618" t="s">
        <v>1609</v>
      </c>
      <c r="G618" t="s">
        <v>13</v>
      </c>
      <c r="H618" t="s">
        <v>1610</v>
      </c>
      <c r="I618" t="s">
        <v>1590</v>
      </c>
    </row>
    <row r="619" spans="1:9" x14ac:dyDescent="0.25">
      <c r="A619" t="s">
        <v>35</v>
      </c>
      <c r="B619" t="s">
        <v>301</v>
      </c>
      <c r="C619">
        <v>1594</v>
      </c>
      <c r="D619">
        <v>123</v>
      </c>
      <c r="E619" t="s">
        <v>11</v>
      </c>
      <c r="F619" t="s">
        <v>1611</v>
      </c>
      <c r="G619" t="s">
        <v>1607</v>
      </c>
      <c r="H619" t="s">
        <v>1612</v>
      </c>
      <c r="I619" t="s">
        <v>1590</v>
      </c>
    </row>
    <row r="620" spans="1:9" x14ac:dyDescent="0.25">
      <c r="A620" t="s">
        <v>9</v>
      </c>
      <c r="B620" t="s">
        <v>498</v>
      </c>
      <c r="C620">
        <v>51</v>
      </c>
      <c r="D620">
        <v>120</v>
      </c>
      <c r="E620" t="s">
        <v>11</v>
      </c>
      <c r="F620" t="s">
        <v>1613</v>
      </c>
      <c r="G620" t="s">
        <v>13</v>
      </c>
      <c r="H620" t="s">
        <v>1614</v>
      </c>
      <c r="I620" t="s">
        <v>1615</v>
      </c>
    </row>
    <row r="621" spans="1:9" x14ac:dyDescent="0.25">
      <c r="A621" t="s">
        <v>9</v>
      </c>
      <c r="B621" t="s">
        <v>503</v>
      </c>
      <c r="C621">
        <v>182</v>
      </c>
      <c r="D621">
        <v>131</v>
      </c>
      <c r="E621" t="s">
        <v>11</v>
      </c>
      <c r="F621" t="s">
        <v>1616</v>
      </c>
      <c r="G621" t="s">
        <v>13</v>
      </c>
      <c r="H621" t="s">
        <v>1617</v>
      </c>
      <c r="I621" t="s">
        <v>1615</v>
      </c>
    </row>
    <row r="622" spans="1:9" x14ac:dyDescent="0.25">
      <c r="A622" t="s">
        <v>9</v>
      </c>
      <c r="B622" t="s">
        <v>507</v>
      </c>
      <c r="C622">
        <v>303</v>
      </c>
      <c r="D622">
        <v>121</v>
      </c>
      <c r="E622" t="s">
        <v>11</v>
      </c>
      <c r="F622" t="s">
        <v>1618</v>
      </c>
      <c r="G622" t="s">
        <v>13</v>
      </c>
      <c r="H622" t="s">
        <v>1619</v>
      </c>
      <c r="I622" t="s">
        <v>1615</v>
      </c>
    </row>
    <row r="623" spans="1:9" x14ac:dyDescent="0.25">
      <c r="A623" t="s">
        <v>9</v>
      </c>
      <c r="B623" t="s">
        <v>511</v>
      </c>
      <c r="C623">
        <v>430</v>
      </c>
      <c r="D623">
        <v>127</v>
      </c>
      <c r="E623" t="s">
        <v>11</v>
      </c>
      <c r="F623" t="s">
        <v>1620</v>
      </c>
      <c r="G623" t="s">
        <v>13</v>
      </c>
      <c r="H623" t="s">
        <v>1621</v>
      </c>
      <c r="I623" t="s">
        <v>1615</v>
      </c>
    </row>
    <row r="624" spans="1:9" x14ac:dyDescent="0.25">
      <c r="A624" t="s">
        <v>9</v>
      </c>
      <c r="B624" t="s">
        <v>515</v>
      </c>
      <c r="C624">
        <v>553</v>
      </c>
      <c r="D624">
        <v>123</v>
      </c>
      <c r="E624" t="s">
        <v>11</v>
      </c>
      <c r="F624" t="s">
        <v>1622</v>
      </c>
      <c r="G624" t="s">
        <v>13</v>
      </c>
      <c r="H624" t="s">
        <v>1623</v>
      </c>
      <c r="I624" t="s">
        <v>1615</v>
      </c>
    </row>
    <row r="625" spans="1:9" x14ac:dyDescent="0.25">
      <c r="A625" t="s">
        <v>9</v>
      </c>
      <c r="B625" t="s">
        <v>519</v>
      </c>
      <c r="C625">
        <v>679</v>
      </c>
      <c r="D625">
        <v>126</v>
      </c>
      <c r="E625" t="s">
        <v>11</v>
      </c>
      <c r="F625" t="s">
        <v>1624</v>
      </c>
      <c r="G625" t="s">
        <v>13</v>
      </c>
      <c r="H625" t="s">
        <v>1625</v>
      </c>
      <c r="I625" t="s">
        <v>1615</v>
      </c>
    </row>
    <row r="626" spans="1:9" x14ac:dyDescent="0.25">
      <c r="A626" t="s">
        <v>9</v>
      </c>
      <c r="B626" t="s">
        <v>523</v>
      </c>
      <c r="C626">
        <v>803</v>
      </c>
      <c r="D626">
        <v>124</v>
      </c>
      <c r="E626" t="s">
        <v>11</v>
      </c>
      <c r="F626" t="s">
        <v>1626</v>
      </c>
      <c r="G626" t="s">
        <v>13</v>
      </c>
      <c r="H626" t="s">
        <v>1627</v>
      </c>
      <c r="I626" t="s">
        <v>1615</v>
      </c>
    </row>
    <row r="627" spans="1:9" x14ac:dyDescent="0.25">
      <c r="A627" t="s">
        <v>9</v>
      </c>
      <c r="B627" t="s">
        <v>527</v>
      </c>
      <c r="C627">
        <v>931</v>
      </c>
      <c r="D627">
        <v>128</v>
      </c>
      <c r="E627" t="s">
        <v>11</v>
      </c>
      <c r="F627" t="s">
        <v>1628</v>
      </c>
      <c r="G627" t="s">
        <v>13</v>
      </c>
      <c r="H627" t="s">
        <v>1629</v>
      </c>
      <c r="I627" t="s">
        <v>1615</v>
      </c>
    </row>
    <row r="628" spans="1:9" x14ac:dyDescent="0.25">
      <c r="A628" t="s">
        <v>9</v>
      </c>
      <c r="B628" t="s">
        <v>531</v>
      </c>
      <c r="C628">
        <v>1052</v>
      </c>
      <c r="D628">
        <v>121</v>
      </c>
      <c r="E628" t="s">
        <v>11</v>
      </c>
      <c r="F628" t="s">
        <v>1618</v>
      </c>
      <c r="G628" t="s">
        <v>13</v>
      </c>
      <c r="H628" t="s">
        <v>1630</v>
      </c>
      <c r="I628" t="s">
        <v>1615</v>
      </c>
    </row>
    <row r="629" spans="1:9" x14ac:dyDescent="0.25">
      <c r="A629" t="s">
        <v>9</v>
      </c>
      <c r="B629" t="s">
        <v>535</v>
      </c>
      <c r="C629">
        <v>1180</v>
      </c>
      <c r="D629">
        <v>128</v>
      </c>
      <c r="E629" t="s">
        <v>11</v>
      </c>
      <c r="F629" t="s">
        <v>1628</v>
      </c>
      <c r="G629" t="s">
        <v>13</v>
      </c>
      <c r="H629" t="s">
        <v>1631</v>
      </c>
      <c r="I629" t="s">
        <v>1615</v>
      </c>
    </row>
    <row r="630" spans="1:9" x14ac:dyDescent="0.25">
      <c r="A630" t="s">
        <v>35</v>
      </c>
      <c r="B630" t="s">
        <v>539</v>
      </c>
      <c r="C630">
        <v>1301</v>
      </c>
      <c r="D630">
        <v>121</v>
      </c>
      <c r="E630" t="s">
        <v>11</v>
      </c>
      <c r="F630" t="s">
        <v>1618</v>
      </c>
      <c r="G630" t="s">
        <v>1632</v>
      </c>
      <c r="H630" t="s">
        <v>1633</v>
      </c>
      <c r="I630" t="s">
        <v>1615</v>
      </c>
    </row>
    <row r="631" spans="1:9" x14ac:dyDescent="0.25">
      <c r="A631" t="s">
        <v>9</v>
      </c>
      <c r="B631" t="s">
        <v>543</v>
      </c>
      <c r="C631">
        <v>1432</v>
      </c>
      <c r="D631">
        <v>131</v>
      </c>
      <c r="E631" t="s">
        <v>11</v>
      </c>
      <c r="F631" t="s">
        <v>1634</v>
      </c>
      <c r="G631" t="s">
        <v>13</v>
      </c>
      <c r="H631" t="s">
        <v>1635</v>
      </c>
      <c r="I631" t="s">
        <v>1615</v>
      </c>
    </row>
    <row r="632" spans="1:9" x14ac:dyDescent="0.25">
      <c r="A632" t="s">
        <v>35</v>
      </c>
      <c r="B632" t="s">
        <v>547</v>
      </c>
      <c r="C632">
        <v>1552</v>
      </c>
      <c r="D632">
        <v>120</v>
      </c>
      <c r="E632" t="s">
        <v>11</v>
      </c>
      <c r="F632" t="s">
        <v>1636</v>
      </c>
      <c r="G632" t="s">
        <v>1637</v>
      </c>
      <c r="H632" t="s">
        <v>1638</v>
      </c>
      <c r="I632" t="s">
        <v>1615</v>
      </c>
    </row>
    <row r="633" spans="1:9" x14ac:dyDescent="0.25">
      <c r="A633" t="s">
        <v>9</v>
      </c>
      <c r="B633" t="s">
        <v>551</v>
      </c>
      <c r="C633">
        <v>1683</v>
      </c>
      <c r="D633">
        <v>131</v>
      </c>
      <c r="E633" t="s">
        <v>11</v>
      </c>
      <c r="F633" t="s">
        <v>1639</v>
      </c>
      <c r="G633" t="s">
        <v>13</v>
      </c>
      <c r="H633" t="s">
        <v>1640</v>
      </c>
      <c r="I633" t="s">
        <v>1615</v>
      </c>
    </row>
    <row r="634" spans="1:9" x14ac:dyDescent="0.25">
      <c r="A634" t="s">
        <v>35</v>
      </c>
      <c r="B634" t="s">
        <v>555</v>
      </c>
      <c r="C634">
        <v>1806</v>
      </c>
      <c r="D634">
        <v>123</v>
      </c>
      <c r="E634" t="s">
        <v>11</v>
      </c>
      <c r="F634" t="s">
        <v>1641</v>
      </c>
      <c r="G634" t="s">
        <v>1637</v>
      </c>
      <c r="H634" t="s">
        <v>1642</v>
      </c>
      <c r="I634" t="s">
        <v>1615</v>
      </c>
    </row>
    <row r="635" spans="1:9" x14ac:dyDescent="0.25">
      <c r="A635" t="s">
        <v>9</v>
      </c>
      <c r="B635" t="s">
        <v>10</v>
      </c>
      <c r="C635">
        <v>11</v>
      </c>
      <c r="D635">
        <v>124</v>
      </c>
      <c r="E635" t="s">
        <v>11</v>
      </c>
      <c r="F635" t="s">
        <v>1643</v>
      </c>
      <c r="G635" t="s">
        <v>13</v>
      </c>
      <c r="H635" t="s">
        <v>1644</v>
      </c>
      <c r="I635" t="s">
        <v>1645</v>
      </c>
    </row>
    <row r="636" spans="1:9" x14ac:dyDescent="0.25">
      <c r="A636" t="s">
        <v>9</v>
      </c>
      <c r="B636" t="s">
        <v>16</v>
      </c>
      <c r="C636">
        <v>137</v>
      </c>
      <c r="D636">
        <v>126</v>
      </c>
      <c r="E636" t="s">
        <v>11</v>
      </c>
      <c r="F636" t="s">
        <v>1646</v>
      </c>
      <c r="G636" t="s">
        <v>13</v>
      </c>
      <c r="H636" t="s">
        <v>1647</v>
      </c>
      <c r="I636" t="s">
        <v>1645</v>
      </c>
    </row>
    <row r="637" spans="1:9" x14ac:dyDescent="0.25">
      <c r="A637" t="s">
        <v>9</v>
      </c>
      <c r="B637" t="s">
        <v>19</v>
      </c>
      <c r="C637">
        <v>262</v>
      </c>
      <c r="D637">
        <v>125</v>
      </c>
      <c r="E637" t="s">
        <v>11</v>
      </c>
      <c r="F637" t="s">
        <v>1648</v>
      </c>
      <c r="G637" t="s">
        <v>13</v>
      </c>
      <c r="H637" t="s">
        <v>1649</v>
      </c>
      <c r="I637" t="s">
        <v>1645</v>
      </c>
    </row>
    <row r="638" spans="1:9" x14ac:dyDescent="0.25">
      <c r="A638" t="s">
        <v>9</v>
      </c>
      <c r="B638" t="s">
        <v>22</v>
      </c>
      <c r="C638">
        <v>388</v>
      </c>
      <c r="D638">
        <v>126</v>
      </c>
      <c r="E638" t="s">
        <v>11</v>
      </c>
      <c r="F638" t="s">
        <v>1646</v>
      </c>
      <c r="G638" t="s">
        <v>13</v>
      </c>
      <c r="H638" t="s">
        <v>1650</v>
      </c>
      <c r="I638" t="s">
        <v>1645</v>
      </c>
    </row>
    <row r="639" spans="1:9" x14ac:dyDescent="0.25">
      <c r="A639" t="s">
        <v>35</v>
      </c>
      <c r="B639" t="s">
        <v>24</v>
      </c>
      <c r="C639">
        <v>510</v>
      </c>
      <c r="D639">
        <v>122</v>
      </c>
      <c r="E639" t="s">
        <v>11</v>
      </c>
      <c r="F639" t="s">
        <v>1651</v>
      </c>
      <c r="G639" t="s">
        <v>1652</v>
      </c>
      <c r="H639" t="s">
        <v>1653</v>
      </c>
      <c r="I639" t="s">
        <v>1645</v>
      </c>
    </row>
    <row r="640" spans="1:9" x14ac:dyDescent="0.25">
      <c r="A640" t="s">
        <v>9</v>
      </c>
      <c r="B640" t="s">
        <v>27</v>
      </c>
      <c r="C640">
        <v>638</v>
      </c>
      <c r="D640">
        <v>128</v>
      </c>
      <c r="E640" t="s">
        <v>11</v>
      </c>
      <c r="F640" t="s">
        <v>1654</v>
      </c>
      <c r="G640" t="s">
        <v>13</v>
      </c>
      <c r="H640" t="s">
        <v>1655</v>
      </c>
      <c r="I640" t="s">
        <v>1645</v>
      </c>
    </row>
    <row r="641" spans="1:9" x14ac:dyDescent="0.25">
      <c r="A641" t="s">
        <v>35</v>
      </c>
      <c r="B641" t="s">
        <v>30</v>
      </c>
      <c r="C641">
        <v>763</v>
      </c>
      <c r="D641">
        <v>125</v>
      </c>
      <c r="E641" t="s">
        <v>11</v>
      </c>
      <c r="F641" t="s">
        <v>1656</v>
      </c>
      <c r="G641" t="s">
        <v>1652</v>
      </c>
      <c r="H641" t="s">
        <v>1657</v>
      </c>
      <c r="I641" t="s">
        <v>1645</v>
      </c>
    </row>
    <row r="642" spans="1:9" x14ac:dyDescent="0.25">
      <c r="A642" t="s">
        <v>9</v>
      </c>
      <c r="B642" t="s">
        <v>32</v>
      </c>
      <c r="C642">
        <v>890</v>
      </c>
      <c r="D642">
        <v>127</v>
      </c>
      <c r="E642" t="s">
        <v>11</v>
      </c>
      <c r="F642" t="s">
        <v>1658</v>
      </c>
      <c r="G642" t="s">
        <v>13</v>
      </c>
      <c r="H642" t="s">
        <v>1659</v>
      </c>
      <c r="I642" t="s">
        <v>1645</v>
      </c>
    </row>
    <row r="643" spans="1:9" x14ac:dyDescent="0.25">
      <c r="A643" t="s">
        <v>35</v>
      </c>
      <c r="B643" t="s">
        <v>36</v>
      </c>
      <c r="C643">
        <v>1011</v>
      </c>
      <c r="D643">
        <v>121</v>
      </c>
      <c r="E643" t="s">
        <v>11</v>
      </c>
      <c r="F643" t="s">
        <v>1660</v>
      </c>
      <c r="G643" t="s">
        <v>1661</v>
      </c>
      <c r="H643" t="s">
        <v>1662</v>
      </c>
      <c r="I643" t="s">
        <v>1645</v>
      </c>
    </row>
    <row r="644" spans="1:9" x14ac:dyDescent="0.25">
      <c r="A644" t="s">
        <v>9</v>
      </c>
      <c r="B644" t="s">
        <v>10</v>
      </c>
      <c r="C644">
        <v>11</v>
      </c>
      <c r="D644">
        <v>11</v>
      </c>
      <c r="E644" t="s">
        <v>11</v>
      </c>
      <c r="F644" t="s">
        <v>1663</v>
      </c>
      <c r="G644" t="s">
        <v>13</v>
      </c>
      <c r="H644" t="s">
        <v>1664</v>
      </c>
      <c r="I644" t="s">
        <v>1665</v>
      </c>
    </row>
    <row r="645" spans="1:9" x14ac:dyDescent="0.25">
      <c r="A645" t="s">
        <v>9</v>
      </c>
      <c r="B645" t="s">
        <v>16</v>
      </c>
      <c r="C645">
        <v>137</v>
      </c>
      <c r="D645">
        <v>126</v>
      </c>
      <c r="E645" t="s">
        <v>11</v>
      </c>
      <c r="F645" t="s">
        <v>1666</v>
      </c>
      <c r="G645" t="s">
        <v>13</v>
      </c>
      <c r="H645" t="s">
        <v>1667</v>
      </c>
      <c r="I645" t="s">
        <v>1665</v>
      </c>
    </row>
    <row r="646" spans="1:9" x14ac:dyDescent="0.25">
      <c r="A646" t="s">
        <v>9</v>
      </c>
      <c r="B646" t="s">
        <v>19</v>
      </c>
      <c r="C646">
        <v>262</v>
      </c>
      <c r="D646">
        <v>125</v>
      </c>
      <c r="E646" t="s">
        <v>11</v>
      </c>
      <c r="F646" t="s">
        <v>1668</v>
      </c>
      <c r="G646" t="s">
        <v>13</v>
      </c>
      <c r="H646" t="s">
        <v>1669</v>
      </c>
      <c r="I646" t="s">
        <v>1665</v>
      </c>
    </row>
    <row r="647" spans="1:9" x14ac:dyDescent="0.25">
      <c r="A647" t="s">
        <v>9</v>
      </c>
      <c r="B647" t="s">
        <v>22</v>
      </c>
      <c r="C647">
        <v>388</v>
      </c>
      <c r="D647">
        <v>126</v>
      </c>
      <c r="E647" t="s">
        <v>11</v>
      </c>
      <c r="F647" t="s">
        <v>1666</v>
      </c>
      <c r="G647" t="s">
        <v>13</v>
      </c>
      <c r="H647" t="s">
        <v>1670</v>
      </c>
      <c r="I647" t="s">
        <v>1665</v>
      </c>
    </row>
    <row r="648" spans="1:9" x14ac:dyDescent="0.25">
      <c r="A648" t="s">
        <v>9</v>
      </c>
      <c r="B648" t="s">
        <v>24</v>
      </c>
      <c r="C648">
        <v>510</v>
      </c>
      <c r="D648">
        <v>122</v>
      </c>
      <c r="E648" t="s">
        <v>11</v>
      </c>
      <c r="F648" t="s">
        <v>1671</v>
      </c>
      <c r="G648" t="s">
        <v>13</v>
      </c>
      <c r="H648" t="s">
        <v>1672</v>
      </c>
      <c r="I648" t="s">
        <v>1665</v>
      </c>
    </row>
    <row r="649" spans="1:9" x14ac:dyDescent="0.25">
      <c r="A649" t="s">
        <v>9</v>
      </c>
      <c r="B649" t="s">
        <v>27</v>
      </c>
      <c r="C649">
        <v>638</v>
      </c>
      <c r="D649">
        <v>128</v>
      </c>
      <c r="E649" t="s">
        <v>11</v>
      </c>
      <c r="F649" t="s">
        <v>1673</v>
      </c>
      <c r="G649" t="s">
        <v>13</v>
      </c>
      <c r="H649" t="s">
        <v>1674</v>
      </c>
      <c r="I649" t="s">
        <v>1665</v>
      </c>
    </row>
    <row r="650" spans="1:9" x14ac:dyDescent="0.25">
      <c r="A650" t="s">
        <v>35</v>
      </c>
      <c r="B650" t="s">
        <v>30</v>
      </c>
      <c r="C650">
        <v>763</v>
      </c>
      <c r="D650">
        <v>125</v>
      </c>
      <c r="E650" t="s">
        <v>11</v>
      </c>
      <c r="F650" t="s">
        <v>1668</v>
      </c>
      <c r="G650" t="s">
        <v>1675</v>
      </c>
      <c r="H650" t="s">
        <v>1676</v>
      </c>
      <c r="I650" t="s">
        <v>1665</v>
      </c>
    </row>
    <row r="651" spans="1:9" x14ac:dyDescent="0.25">
      <c r="A651" t="s">
        <v>35</v>
      </c>
      <c r="B651" t="s">
        <v>32</v>
      </c>
      <c r="C651">
        <v>890</v>
      </c>
      <c r="D651">
        <v>127</v>
      </c>
      <c r="E651" t="s">
        <v>11</v>
      </c>
      <c r="F651" t="s">
        <v>1677</v>
      </c>
      <c r="G651" t="s">
        <v>1678</v>
      </c>
      <c r="H651" t="s">
        <v>1679</v>
      </c>
      <c r="I651" t="s">
        <v>1665</v>
      </c>
    </row>
    <row r="652" spans="1:9" x14ac:dyDescent="0.25">
      <c r="A652" t="s">
        <v>35</v>
      </c>
      <c r="B652" t="s">
        <v>36</v>
      </c>
      <c r="C652">
        <v>1011</v>
      </c>
      <c r="D652">
        <v>121</v>
      </c>
      <c r="E652" t="s">
        <v>11</v>
      </c>
      <c r="F652" t="s">
        <v>1680</v>
      </c>
      <c r="G652" t="s">
        <v>1681</v>
      </c>
      <c r="H652" t="s">
        <v>1682</v>
      </c>
      <c r="I652" t="s">
        <v>1665</v>
      </c>
    </row>
    <row r="653" spans="1:9" x14ac:dyDescent="0.25">
      <c r="A653" t="s">
        <v>35</v>
      </c>
      <c r="B653" t="s">
        <v>40</v>
      </c>
      <c r="C653">
        <v>1139</v>
      </c>
      <c r="D653">
        <v>128</v>
      </c>
      <c r="E653" t="s">
        <v>11</v>
      </c>
      <c r="F653" t="s">
        <v>1683</v>
      </c>
      <c r="G653" t="s">
        <v>1684</v>
      </c>
      <c r="H653" t="s">
        <v>1685</v>
      </c>
      <c r="I653" t="s">
        <v>1665</v>
      </c>
    </row>
    <row r="654" spans="1:9" x14ac:dyDescent="0.25">
      <c r="A654" t="s">
        <v>35</v>
      </c>
      <c r="B654" t="s">
        <v>43</v>
      </c>
      <c r="C654">
        <v>1260</v>
      </c>
      <c r="D654">
        <v>121</v>
      </c>
      <c r="E654" t="s">
        <v>11</v>
      </c>
      <c r="F654" t="s">
        <v>1686</v>
      </c>
      <c r="G654" t="s">
        <v>1687</v>
      </c>
      <c r="H654" t="s">
        <v>1688</v>
      </c>
      <c r="I654" t="s">
        <v>1665</v>
      </c>
    </row>
    <row r="655" spans="1:9" x14ac:dyDescent="0.25">
      <c r="A655" t="s">
        <v>35</v>
      </c>
      <c r="B655" t="s">
        <v>47</v>
      </c>
      <c r="C655">
        <v>1388</v>
      </c>
      <c r="D655">
        <v>128</v>
      </c>
      <c r="E655" t="s">
        <v>11</v>
      </c>
      <c r="F655" t="s">
        <v>1689</v>
      </c>
      <c r="G655" t="s">
        <v>1690</v>
      </c>
      <c r="H655" t="s">
        <v>1691</v>
      </c>
      <c r="I655" t="s">
        <v>1665</v>
      </c>
    </row>
    <row r="656" spans="1:9" x14ac:dyDescent="0.25">
      <c r="A656" t="s">
        <v>35</v>
      </c>
      <c r="B656" t="s">
        <v>50</v>
      </c>
      <c r="C656">
        <v>1512</v>
      </c>
      <c r="D656">
        <v>124</v>
      </c>
      <c r="E656" t="s">
        <v>11</v>
      </c>
      <c r="F656" t="s">
        <v>1692</v>
      </c>
      <c r="G656" t="s">
        <v>1693</v>
      </c>
      <c r="H656" t="s">
        <v>1694</v>
      </c>
      <c r="I656" t="s">
        <v>1665</v>
      </c>
    </row>
    <row r="657" spans="1:19" x14ac:dyDescent="0.25">
      <c r="A657" t="s">
        <v>35</v>
      </c>
      <c r="B657" t="s">
        <v>343</v>
      </c>
      <c r="C657">
        <v>1638</v>
      </c>
      <c r="D657">
        <v>126</v>
      </c>
      <c r="E657" t="s">
        <v>11</v>
      </c>
      <c r="F657" t="s">
        <v>1695</v>
      </c>
      <c r="G657" t="s">
        <v>1696</v>
      </c>
      <c r="H657" t="s">
        <v>1697</v>
      </c>
      <c r="I657" t="s">
        <v>1665</v>
      </c>
    </row>
    <row r="658" spans="1:19" x14ac:dyDescent="0.25">
      <c r="A658" t="s">
        <v>35</v>
      </c>
      <c r="B658" t="s">
        <v>1262</v>
      </c>
      <c r="C658">
        <v>1763</v>
      </c>
      <c r="D658">
        <v>125</v>
      </c>
      <c r="E658" t="s">
        <v>11</v>
      </c>
      <c r="F658" t="s">
        <v>1698</v>
      </c>
      <c r="G658" t="s">
        <v>1699</v>
      </c>
      <c r="H658" t="s">
        <v>1700</v>
      </c>
      <c r="I658" t="s">
        <v>1665</v>
      </c>
    </row>
    <row r="659" spans="1:19" x14ac:dyDescent="0.25">
      <c r="A659" t="s">
        <v>35</v>
      </c>
      <c r="B659" t="s">
        <v>1265</v>
      </c>
      <c r="C659">
        <v>1891</v>
      </c>
      <c r="D659">
        <v>128</v>
      </c>
      <c r="E659" t="s">
        <v>11</v>
      </c>
      <c r="F659" t="s">
        <v>1701</v>
      </c>
      <c r="G659" t="s">
        <v>1702</v>
      </c>
      <c r="H659" t="s">
        <v>1703</v>
      </c>
      <c r="I659" t="s">
        <v>1665</v>
      </c>
    </row>
    <row r="660" spans="1:19" x14ac:dyDescent="0.25">
      <c r="A660" t="s">
        <v>35</v>
      </c>
      <c r="B660" t="s">
        <v>1269</v>
      </c>
      <c r="C660">
        <v>2015</v>
      </c>
      <c r="D660">
        <v>124</v>
      </c>
      <c r="E660" t="s">
        <v>11</v>
      </c>
      <c r="F660" t="s">
        <v>1704</v>
      </c>
      <c r="G660" t="s">
        <v>1705</v>
      </c>
      <c r="H660" t="s">
        <v>1706</v>
      </c>
      <c r="I660" t="s">
        <v>1665</v>
      </c>
    </row>
    <row r="661" spans="1:19" x14ac:dyDescent="0.25">
      <c r="A661" t="s">
        <v>35</v>
      </c>
      <c r="B661" t="s">
        <v>1272</v>
      </c>
      <c r="C661">
        <v>2143</v>
      </c>
      <c r="D661">
        <v>128</v>
      </c>
      <c r="E661" t="s">
        <v>11</v>
      </c>
      <c r="F661" t="s">
        <v>1707</v>
      </c>
      <c r="G661" t="s">
        <v>1708</v>
      </c>
      <c r="H661" t="s">
        <v>1709</v>
      </c>
      <c r="I661" t="s">
        <v>1665</v>
      </c>
    </row>
    <row r="662" spans="1:19" x14ac:dyDescent="0.25">
      <c r="A662" t="s">
        <v>35</v>
      </c>
      <c r="B662" t="s">
        <v>1276</v>
      </c>
      <c r="C662">
        <v>2267</v>
      </c>
      <c r="D662">
        <v>124</v>
      </c>
      <c r="E662" t="s">
        <v>11</v>
      </c>
      <c r="F662" t="s">
        <v>1710</v>
      </c>
      <c r="G662" t="s">
        <v>1711</v>
      </c>
      <c r="H662" t="s">
        <v>1712</v>
      </c>
      <c r="I662" t="s">
        <v>1665</v>
      </c>
    </row>
    <row r="663" spans="1:19" x14ac:dyDescent="0.25">
      <c r="A663" t="s">
        <v>35</v>
      </c>
      <c r="B663" t="s">
        <v>1279</v>
      </c>
      <c r="C663">
        <v>2394</v>
      </c>
      <c r="D663">
        <v>127</v>
      </c>
      <c r="E663" t="s">
        <v>11</v>
      </c>
      <c r="F663" t="s">
        <v>1713</v>
      </c>
      <c r="G663" t="s">
        <v>1714</v>
      </c>
      <c r="H663" t="s">
        <v>1715</v>
      </c>
      <c r="I663" t="s">
        <v>1665</v>
      </c>
    </row>
    <row r="664" spans="1:19" x14ac:dyDescent="0.25">
      <c r="A664" t="s">
        <v>35</v>
      </c>
      <c r="B664" t="s">
        <v>1458</v>
      </c>
      <c r="C664">
        <v>2515</v>
      </c>
      <c r="D664">
        <v>121</v>
      </c>
      <c r="E664" t="s">
        <v>11</v>
      </c>
      <c r="F664" t="s">
        <v>1716</v>
      </c>
      <c r="G664" t="s">
        <v>1717</v>
      </c>
      <c r="H664" t="s">
        <v>1718</v>
      </c>
      <c r="I664" t="s">
        <v>1665</v>
      </c>
    </row>
    <row r="665" spans="1:19" x14ac:dyDescent="0.25">
      <c r="A665" t="s">
        <v>35</v>
      </c>
      <c r="B665" t="s">
        <v>1462</v>
      </c>
      <c r="C665">
        <v>2643</v>
      </c>
      <c r="D665">
        <v>128</v>
      </c>
      <c r="E665" t="s">
        <v>11</v>
      </c>
      <c r="F665" t="s">
        <v>1719</v>
      </c>
      <c r="G665" t="s">
        <v>1720</v>
      </c>
      <c r="H665" t="s">
        <v>1721</v>
      </c>
      <c r="I665" t="s">
        <v>1665</v>
      </c>
    </row>
    <row r="666" spans="1:19" x14ac:dyDescent="0.25">
      <c r="A666" t="s">
        <v>35</v>
      </c>
      <c r="B666" t="s">
        <v>1466</v>
      </c>
      <c r="C666">
        <v>2765</v>
      </c>
      <c r="D666">
        <v>122</v>
      </c>
      <c r="E666" t="s">
        <v>11</v>
      </c>
      <c r="F666" t="s">
        <v>1722</v>
      </c>
      <c r="G666" t="s">
        <v>1723</v>
      </c>
      <c r="H666" t="s">
        <v>1724</v>
      </c>
      <c r="I666" t="s">
        <v>1665</v>
      </c>
    </row>
    <row r="667" spans="1:19" x14ac:dyDescent="0.25">
      <c r="A667" t="s">
        <v>35</v>
      </c>
      <c r="B667" t="s">
        <v>1470</v>
      </c>
      <c r="C667">
        <v>2891</v>
      </c>
      <c r="D667">
        <v>126</v>
      </c>
      <c r="E667" t="s">
        <v>11</v>
      </c>
      <c r="F667" t="s">
        <v>1725</v>
      </c>
      <c r="G667" t="s">
        <v>1723</v>
      </c>
      <c r="H667" t="s">
        <v>1726</v>
      </c>
      <c r="I667" t="s">
        <v>1665</v>
      </c>
    </row>
    <row r="668" spans="1:19" x14ac:dyDescent="0.25">
      <c r="A668" t="s">
        <v>35</v>
      </c>
      <c r="B668" t="s">
        <v>1474</v>
      </c>
      <c r="C668">
        <v>3016</v>
      </c>
      <c r="D668">
        <v>125</v>
      </c>
      <c r="E668" t="s">
        <v>11</v>
      </c>
      <c r="F668" t="s">
        <v>1727</v>
      </c>
      <c r="G668" t="s">
        <v>1728</v>
      </c>
      <c r="H668" t="s">
        <v>1729</v>
      </c>
      <c r="I668" t="s">
        <v>1665</v>
      </c>
    </row>
    <row r="669" spans="1:19" x14ac:dyDescent="0.25">
      <c r="A669" t="s">
        <v>35</v>
      </c>
      <c r="B669" t="s">
        <v>1478</v>
      </c>
      <c r="C669">
        <v>3142</v>
      </c>
      <c r="D669">
        <v>126</v>
      </c>
      <c r="E669" t="s">
        <v>11</v>
      </c>
      <c r="F669" t="s">
        <v>1730</v>
      </c>
      <c r="G669" t="s">
        <v>1731</v>
      </c>
      <c r="H669" t="s">
        <v>1732</v>
      </c>
      <c r="I669" t="s">
        <v>1665</v>
      </c>
    </row>
    <row r="670" spans="1:19" x14ac:dyDescent="0.25">
      <c r="A670" t="s">
        <v>35</v>
      </c>
      <c r="B670" t="s">
        <v>1482</v>
      </c>
      <c r="C670">
        <v>3264</v>
      </c>
      <c r="D670">
        <v>122</v>
      </c>
      <c r="E670" t="s">
        <v>11</v>
      </c>
      <c r="F670" t="s">
        <v>1733</v>
      </c>
      <c r="G670" t="s">
        <v>1731</v>
      </c>
      <c r="H670" t="s">
        <v>1734</v>
      </c>
      <c r="I670" t="s">
        <v>1665</v>
      </c>
    </row>
    <row r="671" spans="1:19" x14ac:dyDescent="0.25">
      <c r="P671" s="4">
        <f>SUM(P2:P14)</f>
        <v>5580941.4088039994</v>
      </c>
      <c r="S671" s="4">
        <f>SUM(S2:S14)</f>
        <v>237.4604323689187</v>
      </c>
    </row>
  </sheetData>
  <autoFilter ref="A1:I6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Gandra Almeida Duque Cabral</cp:lastModifiedBy>
  <dcterms:created xsi:type="dcterms:W3CDTF">2025-03-05T17:17:15Z</dcterms:created>
  <dcterms:modified xsi:type="dcterms:W3CDTF">2025-03-05T23:43:35Z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1425684675</vt:lpwstr>
  </property>
  <property fmtid="{D5CDD505-2E9C-101B-9397-08002B2CF9AE}" pid="3" name="EcoUpdateMessage">
    <vt:lpwstr>2025/03/05-23:31:15</vt:lpwstr>
  </property>
  <property fmtid="{D5CDD505-2E9C-101B-9397-08002B2CF9AE}" pid="4" name="EcoUpdateStatus">
    <vt:lpwstr>2025-03-05=BRA:St,ME,Fd,TP;USA:St,ME;ARG:St,ME,TP;MEX:St,ME,Fd,TP;CHL:St,ME;PER:St,ME;SAU:St|2022-10-17=USA:TP|2025-02-28=ARG:Fd|2025-03-04=CHL:Fd;COL:St,ME,Fd;PER:Fd,TP|2021-11-17=CHL:TP|2014-02-26=VEN:St|2002-11-08=JPN:St|2025-03-03=GBR:St,ME|2016-08-18=NNN:St|2007-01-31=ESP:St|2003-01-29=CHN:St|2003-01-28=TWN:St|2003-01-30=HKG:St;KOR:St|2023-01-19=OTH:St|2024-06-30=PAN:St|2024-06-24=SAU:ME</vt:lpwstr>
  </property>
</Properties>
</file>