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Z:\Asset Management\Equipe\Emanuel\22.0-Hedge\PagJuros\Dados\"/>
    </mc:Choice>
  </mc:AlternateContent>
  <xr:revisionPtr revIDLastSave="0" documentId="13_ncr:1_{5B482E7B-1850-4F90-B911-9FFE86DE1376}" xr6:coauthVersionLast="47" xr6:coauthVersionMax="47" xr10:uidLastSave="{00000000-0000-0000-0000-000000000000}"/>
  <bookViews>
    <workbookView xWindow="28680" yWindow="-120" windowWidth="20640" windowHeight="11160" activeTab="2" xr2:uid="{00000000-000D-0000-FFFF-FFFF00000000}"/>
  </bookViews>
  <sheets>
    <sheet name="Planilha1" sheetId="2" r:id="rId1"/>
    <sheet name="Planilha2" sheetId="3" r:id="rId2"/>
    <sheet name="Planilha5" sheetId="6" r:id="rId3"/>
    <sheet name="Planilha3" sheetId="4" r:id="rId4"/>
    <sheet name="Planilha4" sheetId="5" r:id="rId5"/>
    <sheet name="Sheet1" sheetId="1" r:id="rId6"/>
  </sheets>
  <definedNames>
    <definedName name="_xlnm._FilterDatabase" localSheetId="1" hidden="1">Planilha2!$A$1:$F$26</definedName>
    <definedName name="_xlnm._FilterDatabase" localSheetId="5" hidden="1">Sheet1!$A$1:$O$440</definedName>
  </definedNames>
  <calcPr calcId="181029"/>
  <pivotCaches>
    <pivotCache cacheId="10" r:id="rId7"/>
  </pivotCaches>
</workbook>
</file>

<file path=xl/calcChain.xml><?xml version="1.0" encoding="utf-8"?>
<calcChain xmlns="http://schemas.openxmlformats.org/spreadsheetml/2006/main">
  <c r="E15" i="6" l="1"/>
  <c r="E14" i="6"/>
  <c r="E13" i="6"/>
  <c r="E12" i="6"/>
  <c r="E11" i="6"/>
  <c r="E10" i="6"/>
  <c r="E9" i="6"/>
  <c r="E8" i="6"/>
  <c r="E7" i="6"/>
  <c r="E6" i="6"/>
  <c r="E5" i="6"/>
  <c r="E4" i="6"/>
  <c r="E3" i="6"/>
  <c r="E2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C2" i="6"/>
  <c r="B15" i="6"/>
  <c r="G2" i="3"/>
  <c r="C2" i="3"/>
  <c r="E24" i="3"/>
  <c r="E21" i="3"/>
  <c r="E20" i="3"/>
  <c r="E17" i="3"/>
  <c r="E16" i="3"/>
  <c r="E13" i="3"/>
  <c r="E12" i="3"/>
  <c r="E9" i="3"/>
  <c r="E8" i="3"/>
  <c r="E5" i="3"/>
  <c r="E4" i="3"/>
  <c r="C25" i="3"/>
  <c r="E25" i="3" s="1"/>
  <c r="C24" i="3"/>
  <c r="C23" i="3"/>
  <c r="E23" i="3" s="1"/>
  <c r="C22" i="3"/>
  <c r="E22" i="3" s="1"/>
  <c r="C21" i="3"/>
  <c r="C20" i="3"/>
  <c r="C19" i="3"/>
  <c r="E19" i="3" s="1"/>
  <c r="C18" i="3"/>
  <c r="E18" i="3" s="1"/>
  <c r="C17" i="3"/>
  <c r="C16" i="3"/>
  <c r="C15" i="3"/>
  <c r="E15" i="3" s="1"/>
  <c r="C14" i="3"/>
  <c r="E14" i="3" s="1"/>
  <c r="C13" i="3"/>
  <c r="C12" i="3"/>
  <c r="C11" i="3"/>
  <c r="E11" i="3" s="1"/>
  <c r="C10" i="3"/>
  <c r="E10" i="3" s="1"/>
  <c r="C9" i="3"/>
  <c r="C8" i="3"/>
  <c r="C7" i="3"/>
  <c r="E7" i="3" s="1"/>
  <c r="C6" i="3"/>
  <c r="E6" i="3" s="1"/>
  <c r="C5" i="3"/>
  <c r="C4" i="3"/>
  <c r="C3" i="3"/>
  <c r="E3" i="3" s="1"/>
  <c r="C26" i="3" l="1"/>
  <c r="E2" i="3"/>
  <c r="E26" i="3" s="1"/>
</calcChain>
</file>

<file path=xl/sharedStrings.xml><?xml version="1.0" encoding="utf-8"?>
<sst xmlns="http://schemas.openxmlformats.org/spreadsheetml/2006/main" count="3745" uniqueCount="125">
  <si>
    <t>Ativo</t>
  </si>
  <si>
    <t>Fundo</t>
  </si>
  <si>
    <t>DIV1_ATIVO</t>
  </si>
  <si>
    <t>B_REF</t>
  </si>
  <si>
    <t>expiration_date</t>
  </si>
  <si>
    <t>sub_class</t>
  </si>
  <si>
    <t>DATA</t>
  </si>
  <si>
    <t>close_unit_price</t>
  </si>
  <si>
    <t>adj_close_unit_price</t>
  </si>
  <si>
    <t>TAX_INDIC</t>
  </si>
  <si>
    <t>duration</t>
  </si>
  <si>
    <t>origin_source_id</t>
  </si>
  <si>
    <t>NTNB_YIELD</t>
  </si>
  <si>
    <t>SPREAD_PP</t>
  </si>
  <si>
    <t>DATA_DATE</t>
  </si>
  <si>
    <t>CAEC21</t>
  </si>
  <si>
    <t>BH FIRF INFRA</t>
  </si>
  <si>
    <t>B27</t>
  </si>
  <si>
    <t>2029-03-15</t>
  </si>
  <si>
    <t>Debêntures</t>
  </si>
  <si>
    <t>1201.479476</t>
  </si>
  <si>
    <t>607.46</t>
  </si>
  <si>
    <t>HBSA11</t>
  </si>
  <si>
    <t>B28</t>
  </si>
  <si>
    <t>2028-10-15</t>
  </si>
  <si>
    <t>1125.597736</t>
  </si>
  <si>
    <t>791.99</t>
  </si>
  <si>
    <t>CBAN72</t>
  </si>
  <si>
    <t>B30</t>
  </si>
  <si>
    <t>2034-07-15</t>
  </si>
  <si>
    <t>1351.121839</t>
  </si>
  <si>
    <t>1256.04</t>
  </si>
  <si>
    <t>COCE18</t>
  </si>
  <si>
    <t>2032-05-15</t>
  </si>
  <si>
    <t>1080.034788</t>
  </si>
  <si>
    <t>1234.13</t>
  </si>
  <si>
    <t>CBAN12</t>
  </si>
  <si>
    <t>1330.071487</t>
  </si>
  <si>
    <t>1261.05</t>
  </si>
  <si>
    <t>VAMO33</t>
  </si>
  <si>
    <t>2031-06-15</t>
  </si>
  <si>
    <t>1118.413482</t>
  </si>
  <si>
    <t>1065.81</t>
  </si>
  <si>
    <t>RISP12</t>
  </si>
  <si>
    <t>2034-01-15</t>
  </si>
  <si>
    <t>10.333228</t>
  </si>
  <si>
    <t>1244.98</t>
  </si>
  <si>
    <t>CHSF13</t>
  </si>
  <si>
    <t>1041.316631</t>
  </si>
  <si>
    <t>1247.32</t>
  </si>
  <si>
    <t>MOVI37</t>
  </si>
  <si>
    <t>2031-09-15</t>
  </si>
  <si>
    <t>1021.842086</t>
  </si>
  <si>
    <t>1085.7</t>
  </si>
  <si>
    <t>DESK17</t>
  </si>
  <si>
    <t>1040.826794</t>
  </si>
  <si>
    <t>1054.82</t>
  </si>
  <si>
    <t>SUMI17</t>
  </si>
  <si>
    <t>2031-07-15</t>
  </si>
  <si>
    <t>997.612478</t>
  </si>
  <si>
    <t>1146.46</t>
  </si>
  <si>
    <t>ENAT14</t>
  </si>
  <si>
    <t>2030-06-15</t>
  </si>
  <si>
    <t>1026.883279</t>
  </si>
  <si>
    <t>1041.96</t>
  </si>
  <si>
    <t>ENGIA5</t>
  </si>
  <si>
    <t>2031-10-15</t>
  </si>
  <si>
    <t>1137.948574</t>
  </si>
  <si>
    <t>1170.22</t>
  </si>
  <si>
    <t>ALGAB1</t>
  </si>
  <si>
    <t>1103.302887</t>
  </si>
  <si>
    <t>1127.07</t>
  </si>
  <si>
    <t>CPLD37</t>
  </si>
  <si>
    <t>1089.907306</t>
  </si>
  <si>
    <t>1237.99</t>
  </si>
  <si>
    <t>HARG11</t>
  </si>
  <si>
    <t>B32</t>
  </si>
  <si>
    <t>2036-10-15</t>
  </si>
  <si>
    <t>1077.846048</t>
  </si>
  <si>
    <t>1419.36</t>
  </si>
  <si>
    <t>FBRI13</t>
  </si>
  <si>
    <t>2034-04-15</t>
  </si>
  <si>
    <t>1019.649593</t>
  </si>
  <si>
    <t>1376.3</t>
  </si>
  <si>
    <t>ERDVC3</t>
  </si>
  <si>
    <t>2033-10-15</t>
  </si>
  <si>
    <t>1009.336059</t>
  </si>
  <si>
    <t>1476.94</t>
  </si>
  <si>
    <t>BHSA11</t>
  </si>
  <si>
    <t>B35</t>
  </si>
  <si>
    <t>2044-03-15</t>
  </si>
  <si>
    <t>1051.861168</t>
  </si>
  <si>
    <t>1839.17</t>
  </si>
  <si>
    <t>EQPA18</t>
  </si>
  <si>
    <t>2036-12-15</t>
  </si>
  <si>
    <t>1052.088624</t>
  </si>
  <si>
    <t>1763.6</t>
  </si>
  <si>
    <t>RMSA12</t>
  </si>
  <si>
    <t>2042-06-15</t>
  </si>
  <si>
    <t>1213.912217</t>
  </si>
  <si>
    <t>1865.38</t>
  </si>
  <si>
    <t>CGOS16</t>
  </si>
  <si>
    <t>2036-05-15</t>
  </si>
  <si>
    <t>990.661999</t>
  </si>
  <si>
    <t>1737.39</t>
  </si>
  <si>
    <t>VALEC0</t>
  </si>
  <si>
    <t>B40</t>
  </si>
  <si>
    <t>2039-10-15</t>
  </si>
  <si>
    <t>986.129985</t>
  </si>
  <si>
    <t>2391</t>
  </si>
  <si>
    <t>KLBNA5</t>
  </si>
  <si>
    <t>2039-08-15</t>
  </si>
  <si>
    <t>952.41779</t>
  </si>
  <si>
    <t>2258.78</t>
  </si>
  <si>
    <t>Rótulos de Linha</t>
  </si>
  <si>
    <t>Total Geral</t>
  </si>
  <si>
    <t>Soma de DIV1_ATIVO</t>
  </si>
  <si>
    <t>Média de TAX_INDIC</t>
  </si>
  <si>
    <t>Soma de Campo1</t>
  </si>
  <si>
    <t>Soma de Peso</t>
  </si>
  <si>
    <t>Média de Taxa Ponderada</t>
  </si>
  <si>
    <t>PESO</t>
  </si>
  <si>
    <t>TAXA</t>
  </si>
  <si>
    <t>TAXA PONDERA</t>
  </si>
  <si>
    <t>SOMA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</si>
</sst>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5" formatCode="yyyy\-mm\-dd\ hh:mm:ss"/>
    <numFmt numFmtId="166" formatCode="yyyy\-mm\-dd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166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2" fillId="2" borderId="2" xfId="0" applyFont="1" applyFill="1" applyBorder="1"/>
    <xf numFmtId="0" fontId="0" fillId="0" borderId="0" xfId="0" applyAlignment="1">
      <alignment horizontal="left" indent="1"/>
    </xf>
    <xf numFmtId="0" fontId="2" fillId="2" borderId="3" xfId="0" applyNumberFormat="1" applyFont="1" applyFill="1" applyBorder="1"/>
    <xf numFmtId="0" fontId="2" fillId="0" borderId="2" xfId="0" applyNumberFormat="1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manuel Gandra Almeida Duque Cabral" refreshedDate="45783.791984722222" createdVersion="8" refreshedVersion="8" minRefreshableVersion="3" recordCount="439" xr:uid="{1897B71B-BEF5-4F03-8D76-53B1F729D383}">
  <cacheSource type="worksheet">
    <worksheetSource ref="A1:O440" sheet="Sheet1"/>
  </cacheSource>
  <cacheFields count="18">
    <cacheField name="Ativo" numFmtId="0">
      <sharedItems count="24">
        <s v="CAEC21"/>
        <s v="HBSA11"/>
        <s v="CBAN72"/>
        <s v="COCE18"/>
        <s v="CBAN12"/>
        <s v="VAMO33"/>
        <s v="RISP12"/>
        <s v="CHSF13"/>
        <s v="MOVI37"/>
        <s v="DESK17"/>
        <s v="SUMI17"/>
        <s v="ENAT14"/>
        <s v="ENGIA5"/>
        <s v="ALGAB1"/>
        <s v="CPLD37"/>
        <s v="HARG11"/>
        <s v="FBRI13"/>
        <s v="ERDVC3"/>
        <s v="BHSA11"/>
        <s v="EQPA18"/>
        <s v="RMSA12"/>
        <s v="CGOS16"/>
        <s v="VALEC0"/>
        <s v="KLBNA5"/>
      </sharedItems>
    </cacheField>
    <cacheField name="Fundo" numFmtId="0">
      <sharedItems/>
    </cacheField>
    <cacheField name="DIV1_ATIVO" numFmtId="0">
      <sharedItems containsSemiMixedTypes="0" containsString="0" containsNumber="1" minValue="0.1935287732" maxValue="1464.6856696859529"/>
    </cacheField>
    <cacheField name="B_REF" numFmtId="0">
      <sharedItems count="6">
        <s v="B27"/>
        <s v="B28"/>
        <s v="B30"/>
        <s v="B32"/>
        <s v="B35"/>
        <s v="B40"/>
      </sharedItems>
    </cacheField>
    <cacheField name="expiration_date" numFmtId="0">
      <sharedItems/>
    </cacheField>
    <cacheField name="sub_class" numFmtId="0">
      <sharedItems/>
    </cacheField>
    <cacheField name="DATA" numFmtId="165">
      <sharedItems containsSemiMixedTypes="0" containsNonDate="0" containsDate="1" containsString="0" minDate="2025-05-05T00:00:00" maxDate="2025-05-06T00:00:00" count="1">
        <d v="2025-05-05T00:00:00"/>
      </sharedItems>
    </cacheField>
    <cacheField name="close_unit_price" numFmtId="0">
      <sharedItems/>
    </cacheField>
    <cacheField name="adj_close_unit_price" numFmtId="0">
      <sharedItems/>
    </cacheField>
    <cacheField name="TAX_INDIC" numFmtId="0">
      <sharedItems containsSemiMixedTypes="0" containsString="0" containsNumber="1" minValue="6.9795999999999996" maxValue="12.620100000000001" count="24">
        <n v="8.6034000000000006"/>
        <n v="8.4296000000000006"/>
        <n v="8.0358000000000001"/>
        <n v="7.8830999999999998"/>
        <n v="8.0528999999999993"/>
        <n v="9.9582999999999995"/>
        <n v="8.4629999999999992"/>
        <n v="7.4328000000000003"/>
        <n v="12.620100000000001"/>
        <n v="8.2566000000000006"/>
        <n v="9.3110999999999997"/>
        <n v="9.3371999999999993"/>
        <n v="7.6345999999999998"/>
        <n v="8.2459000000000007"/>
        <n v="7.5804"/>
        <n v="8.0670000000000002"/>
        <n v="8.0713000000000008"/>
        <n v="8.1516999999999999"/>
        <n v="7.9573"/>
        <n v="7.7839"/>
        <n v="9.2637"/>
        <n v="7.7991000000000001"/>
        <n v="6.9795999999999996"/>
        <n v="7.2465000000000002"/>
      </sharedItems>
    </cacheField>
    <cacheField name="duration" numFmtId="0">
      <sharedItems/>
    </cacheField>
    <cacheField name="origin_source_id" numFmtId="0">
      <sharedItems containsSemiMixedTypes="0" containsString="0" containsNumber="1" containsInteger="1" minValue="2" maxValue="2"/>
    </cacheField>
    <cacheField name="NTNB_YIELD" numFmtId="0">
      <sharedItems containsSemiMixedTypes="0" containsString="0" containsNumber="1" minValue="7.3703000000000003" maxValue="8.0508000000000006"/>
    </cacheField>
    <cacheField name="SPREAD_PP" numFmtId="0">
      <sharedItems containsSemiMixedTypes="0" containsString="0" containsNumber="1" minValue="-0.39070000000000071" maxValue="5.1301000000000014"/>
    </cacheField>
    <cacheField name="DATA_DATE" numFmtId="166">
      <sharedItems containsSemiMixedTypes="0" containsNonDate="0" containsDate="1" containsString="0" minDate="2025-05-05T00:00:00" maxDate="2025-05-06T00:00:00"/>
    </cacheField>
    <cacheField name="Campo1" numFmtId="0" formula=" 27415" databaseField="0"/>
    <cacheField name="Peso" numFmtId="0" formula="DIV1_ATIVO / 27415.08922" databaseField="0"/>
    <cacheField name="Taxa Ponderada" numFmtId="0" formula="TAX_INDIC *Peso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9">
  <r>
    <x v="0"/>
    <s v="BH FIRF INFRA"/>
    <n v="186.93164976833569"/>
    <x v="0"/>
    <s v="2029-03-15"/>
    <s v="Debêntures"/>
    <x v="0"/>
    <s v="1201.479476"/>
    <s v="1201.479476"/>
    <x v="0"/>
    <s v="607.46"/>
    <n v="2"/>
    <n v="8.0508000000000006"/>
    <n v="0.55259999999999998"/>
    <d v="2025-05-05T00:00:00"/>
  </r>
  <r>
    <x v="0"/>
    <s v="BH FIRF INFRA"/>
    <n v="199.87519138999599"/>
    <x v="0"/>
    <s v="2029-03-15"/>
    <s v="Debêntures"/>
    <x v="0"/>
    <s v="1201.479476"/>
    <s v="1201.479476"/>
    <x v="0"/>
    <s v="607.46"/>
    <n v="2"/>
    <n v="8.0508000000000006"/>
    <n v="0.55259999999999998"/>
    <d v="2025-05-05T00:00:00"/>
  </r>
  <r>
    <x v="0"/>
    <s v="BH FIRF INFRA"/>
    <n v="8.9138585652039684"/>
    <x v="0"/>
    <s v="2029-03-15"/>
    <s v="Debêntures"/>
    <x v="0"/>
    <s v="1201.479476"/>
    <s v="1201.479476"/>
    <x v="0"/>
    <s v="607.46"/>
    <n v="2"/>
    <n v="8.0508000000000006"/>
    <n v="0.55259999999999998"/>
    <d v="2025-05-05T00:00:00"/>
  </r>
  <r>
    <x v="0"/>
    <s v="BH FIRF INFRA"/>
    <n v="3.9937212316869051"/>
    <x v="0"/>
    <s v="2029-03-15"/>
    <s v="Debêntures"/>
    <x v="0"/>
    <s v="1201.479476"/>
    <s v="1201.479476"/>
    <x v="0"/>
    <s v="607.46"/>
    <n v="2"/>
    <n v="8.0508000000000006"/>
    <n v="0.55259999999999998"/>
    <d v="2025-05-05T00:00:00"/>
  </r>
  <r>
    <x v="0"/>
    <s v="BH FIRF INFRA"/>
    <n v="98.627022789034939"/>
    <x v="0"/>
    <s v="2029-03-15"/>
    <s v="Debêntures"/>
    <x v="0"/>
    <s v="1201.479476"/>
    <s v="1201.479476"/>
    <x v="0"/>
    <s v="607.46"/>
    <n v="2"/>
    <n v="8.0508000000000006"/>
    <n v="0.55259999999999998"/>
    <d v="2025-05-05T00:00:00"/>
  </r>
  <r>
    <x v="0"/>
    <s v="BH FIRF INFRA"/>
    <n v="124.94639232915949"/>
    <x v="0"/>
    <s v="2029-03-15"/>
    <s v="Debêntures"/>
    <x v="0"/>
    <s v="1201.479476"/>
    <s v="1201.479476"/>
    <x v="0"/>
    <s v="607.46"/>
    <n v="2"/>
    <n v="8.0508000000000006"/>
    <n v="0.55259999999999998"/>
    <d v="2025-05-05T00:00:00"/>
  </r>
  <r>
    <x v="0"/>
    <s v="BH FIRF INFRA"/>
    <n v="169.64047934057189"/>
    <x v="0"/>
    <s v="2029-03-15"/>
    <s v="Debêntures"/>
    <x v="0"/>
    <s v="1201.479476"/>
    <s v="1201.479476"/>
    <x v="0"/>
    <s v="607.46"/>
    <n v="2"/>
    <n v="8.0508000000000006"/>
    <n v="0.55259999999999998"/>
    <d v="2025-05-05T00:00:00"/>
  </r>
  <r>
    <x v="0"/>
    <s v="BH FIRF INFRA"/>
    <n v="149.9319502461"/>
    <x v="0"/>
    <s v="2029-03-15"/>
    <s v="Debêntures"/>
    <x v="0"/>
    <s v="1201.479476"/>
    <s v="1201.479476"/>
    <x v="0"/>
    <s v="607.46"/>
    <n v="2"/>
    <n v="8.0508000000000006"/>
    <n v="0.55259999999999998"/>
    <d v="2025-05-05T00:00:00"/>
  </r>
  <r>
    <x v="1"/>
    <s v="BH FIRF INFRA"/>
    <n v="8.2707021178571427"/>
    <x v="1"/>
    <s v="2028-10-15"/>
    <s v="Debêntures"/>
    <x v="0"/>
    <s v="1125.597736"/>
    <s v="1125.597736"/>
    <x v="1"/>
    <s v="791.99"/>
    <n v="2"/>
    <n v="7.6223000000000001"/>
    <n v="0.80730000000000057"/>
    <d v="2025-05-05T00:00:00"/>
  </r>
  <r>
    <x v="1"/>
    <s v="BH FIRF INFRA"/>
    <n v="10.372823428571429"/>
    <x v="1"/>
    <s v="2028-10-15"/>
    <s v="Debêntures"/>
    <x v="0"/>
    <s v="1125.597736"/>
    <s v="1125.597736"/>
    <x v="1"/>
    <s v="791.99"/>
    <n v="2"/>
    <n v="7.6223000000000001"/>
    <n v="0.80730000000000057"/>
    <d v="2025-05-05T00:00:00"/>
  </r>
  <r>
    <x v="1"/>
    <s v="BH FIRF INFRA"/>
    <n v="12.96401066785714"/>
    <x v="1"/>
    <s v="2028-10-15"/>
    <s v="Debêntures"/>
    <x v="0"/>
    <s v="1125.597736"/>
    <s v="1125.597736"/>
    <x v="1"/>
    <s v="791.99"/>
    <n v="2"/>
    <n v="7.6223000000000001"/>
    <n v="0.80730000000000057"/>
    <d v="2025-05-05T00:00:00"/>
  </r>
  <r>
    <x v="1"/>
    <s v="BH FIRF INFRA"/>
    <n v="5.5484481642857144"/>
    <x v="1"/>
    <s v="2028-10-15"/>
    <s v="Debêntures"/>
    <x v="0"/>
    <s v="1125.597736"/>
    <s v="1125.597736"/>
    <x v="1"/>
    <s v="791.99"/>
    <n v="2"/>
    <n v="7.6223000000000001"/>
    <n v="0.80730000000000057"/>
    <d v="2025-05-05T00:00:00"/>
  </r>
  <r>
    <x v="1"/>
    <s v="BH FIRF INFRA"/>
    <n v="2.8464261142857139"/>
    <x v="1"/>
    <s v="2028-10-15"/>
    <s v="Debêntures"/>
    <x v="0"/>
    <s v="1125.597736"/>
    <s v="1125.597736"/>
    <x v="1"/>
    <s v="791.99"/>
    <n v="2"/>
    <n v="7.6223000000000001"/>
    <n v="0.80730000000000057"/>
    <d v="2025-05-05T00:00:00"/>
  </r>
  <r>
    <x v="1"/>
    <s v="BH FIRF INFRA"/>
    <n v="581.42404310000006"/>
    <x v="1"/>
    <s v="2028-10-15"/>
    <s v="Debêntures"/>
    <x v="0"/>
    <s v="1125.597736"/>
    <s v="1125.597736"/>
    <x v="1"/>
    <s v="791.99"/>
    <n v="2"/>
    <n v="7.6223000000000001"/>
    <n v="0.80730000000000057"/>
    <d v="2025-05-05T00:00:00"/>
  </r>
  <r>
    <x v="1"/>
    <s v="BH FIRF INFRA"/>
    <n v="14.880752472857139"/>
    <x v="1"/>
    <s v="2028-10-15"/>
    <s v="Debêntures"/>
    <x v="0"/>
    <s v="1125.597736"/>
    <s v="1125.597736"/>
    <x v="1"/>
    <s v="791.99"/>
    <n v="2"/>
    <n v="7.6223000000000001"/>
    <n v="0.80730000000000057"/>
    <d v="2025-05-05T00:00:00"/>
  </r>
  <r>
    <x v="2"/>
    <s v="BH FIRF INFRA"/>
    <n v="7.2514907696000011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2"/>
    <s v="BH FIRF INFRA"/>
    <n v="11.2924599153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3"/>
    <s v="BH FIRF INFRA"/>
    <n v="15.469166878695241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4"/>
    <s v="BH FIRF INFRA"/>
    <n v="63.659514507599219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5"/>
    <s v="BH FIRF INFRA"/>
    <n v="1.629815421277778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6"/>
    <s v="BH FIRF INFRA"/>
    <n v="23.758411724599998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2"/>
    <s v="BH FIRF INFRA"/>
    <n v="1.9539186769000001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3"/>
    <s v="BH FIRF INFRA"/>
    <n v="10.267277024022221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2"/>
    <s v="BH FIRF INFRA"/>
    <n v="9.2731763318000002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6"/>
    <s v="BH FIRF INFRA"/>
    <n v="72.982597329425005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4"/>
    <s v="BH FIRF INFRA"/>
    <n v="8.2821736369777774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7"/>
    <s v="BH FIRF INFRA"/>
    <n v="1.339274423678571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7"/>
    <s v="BH FIRF INFRA"/>
    <n v="11.9010146256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2"/>
    <s v="BH FIRF INFRA"/>
    <n v="9.9769124106000024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4"/>
    <s v="BH FIRF INFRA"/>
    <n v="62.547849560693663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7"/>
    <s v="BH FIRF INFRA"/>
    <n v="7.2802144521555574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3"/>
    <s v="BH FIRF INFRA"/>
    <n v="6.1498634360714286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2"/>
    <s v="BH FIRF INFRA"/>
    <n v="8.0314805714000013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7"/>
    <s v="BH FIRF INFRA"/>
    <n v="17.3996836245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6"/>
    <s v="BH FIRF INFRA"/>
    <n v="43.332341366475013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8"/>
    <s v="BH FIRF INFRA"/>
    <n v="0.37418416581904762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4"/>
    <s v="BH FIRF INFRA"/>
    <n v="60.06135885500715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2"/>
    <s v="BH FIRF INFRA"/>
    <n v="10.825239515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6"/>
    <s v="BH FIRF INFRA"/>
    <n v="22.027346689950001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2"/>
    <s v="BH FIRF INFRA"/>
    <n v="0.1935287732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2"/>
    <s v="BH FIRF INFRA"/>
    <n v="16.574703096899999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7"/>
    <s v="BH FIRF INFRA"/>
    <n v="29.872661886834919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6"/>
    <s v="BH FIRF INFRA"/>
    <n v="74.7660859561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4"/>
    <s v="BH FIRF INFRA"/>
    <n v="42.59875141692936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7"/>
    <s v="BH FIRF INFRA"/>
    <n v="41.752492150857137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5"/>
    <s v="BH FIRF INFRA"/>
    <n v="0.30339337546666673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2"/>
    <s v="BH FIRF INFRA"/>
    <n v="16.7128397418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6"/>
    <s v="BH FIRF INFRA"/>
    <n v="56.762372632000023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4"/>
    <s v="BH FIRF INFRA"/>
    <n v="68.74854044493334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4"/>
    <s v="BH FIRF INFRA"/>
    <n v="89.349667750168265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7"/>
    <s v="BH FIRF INFRA"/>
    <n v="35.778829298841273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4"/>
    <s v="BH FIRF INFRA"/>
    <n v="49.238003331649999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6"/>
    <s v="BH FIRF INFRA"/>
    <n v="70.301822075974997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4"/>
    <s v="BH FIRF INFRA"/>
    <n v="68.660054589012702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6"/>
    <s v="BH FIRF INFRA"/>
    <n v="69.049792498749994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7"/>
    <s v="BH FIRF INFRA"/>
    <n v="39.702139479314283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4"/>
    <s v="BH FIRF INFRA"/>
    <n v="88.687180087922641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7"/>
    <s v="BH FIRF INFRA"/>
    <n v="33.167468932206347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7"/>
    <s v="BH FIRF INFRA"/>
    <n v="21.19081636516032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6"/>
    <s v="BH FIRF INFRA"/>
    <n v="45.373544790000011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4"/>
    <s v="BH FIRF INFRA"/>
    <n v="65.385422139467863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2"/>
    <s v="BH FIRF INFRA"/>
    <n v="1.1491835053999999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2"/>
    <s v="BH FIRF INFRA"/>
    <n v="12.274483800100001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2"/>
    <s v="BH FIRF INFRA"/>
    <n v="11.954862009999999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6"/>
    <s v="BH FIRF INFRA"/>
    <n v="73.863606812800001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2"/>
    <s v="BH FIRF INFRA"/>
    <n v="11.7556642436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3"/>
    <s v="BH FIRF INFRA"/>
    <n v="0.29685929133888889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2"/>
    <s v="BH FIRF INFRA"/>
    <n v="1.5999016194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4"/>
    <s v="BH FIRF INFRA"/>
    <n v="57.545789748055569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4"/>
    <s v="BH FIRF INFRA"/>
    <n v="10.11470969727619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2"/>
    <s v="BH FIRF INFRA"/>
    <n v="12.886235208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4"/>
    <s v="BH FIRF INFRA"/>
    <n v="65.881152733977785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4"/>
    <s v="BH FIRF INFRA"/>
    <n v="38.435609863858332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7"/>
    <s v="BH FIRF INFRA"/>
    <n v="45.355164270099998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4"/>
    <s v="BH FIRF INFRA"/>
    <n v="52.993673107107952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2"/>
    <s v="BH FIRF INFRA"/>
    <n v="12.858975468000001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2"/>
    <s v="BH FIRF INFRA"/>
    <n v="0.73907091640000011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6"/>
    <s v="BH FIRF INFRA"/>
    <n v="74.722377779700011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2"/>
    <s v="BH FIRF INFRA"/>
    <n v="12.357642638"/>
    <x v="2"/>
    <s v="2034-07-15"/>
    <s v="Debêntures"/>
    <x v="0"/>
    <s v="1351.121839"/>
    <s v="1351.121839"/>
    <x v="2"/>
    <s v="1256.04"/>
    <n v="2"/>
    <n v="7.49"/>
    <n v="0.54579999999999984"/>
    <d v="2025-05-05T00:00:00"/>
  </r>
  <r>
    <x v="6"/>
    <s v="BH FIRF INFRA"/>
    <n v="21.856104649224999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7"/>
    <s v="BH FIRF INFRA"/>
    <n v="1464.6856696859529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6"/>
    <s v="BH FIRF INFRA"/>
    <n v="54.817799058225013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7"/>
    <s v="BH FIRF INFRA"/>
    <n v="26.18360144387302"/>
    <x v="2"/>
    <s v="2031-06-15"/>
    <s v="Debêntures"/>
    <x v="0"/>
    <s v="1041.316631"/>
    <s v="1041.316631"/>
    <x v="7"/>
    <s v="1247.32"/>
    <n v="2"/>
    <n v="7.49"/>
    <n v="-5.7199999999999918E-2"/>
    <d v="2025-05-05T00:00:00"/>
  </r>
  <r>
    <x v="9"/>
    <s v="BH FIRF INFRA"/>
    <n v="190.40630857142861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10"/>
    <s v="BH FIRF INFRA"/>
    <n v="6.2746643980277783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1"/>
    <s v="BH FIRF INFRA"/>
    <n v="24.846531788222229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5"/>
    <s v="BH FIRF INFRA"/>
    <n v="88.01523619906348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11"/>
    <s v="BH FIRF INFRA"/>
    <n v="20.285608944279758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10"/>
    <s v="BH FIRF INFRA"/>
    <n v="4.0680727601587314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1"/>
    <s v="BH FIRF INFRA"/>
    <n v="28.098577445019849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11"/>
    <s v="BH FIRF INFRA"/>
    <n v="7.1532223446190484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10"/>
    <s v="BH FIRF INFRA"/>
    <n v="10.60228527105158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1"/>
    <s v="BH FIRF INFRA"/>
    <n v="1.3275500382480161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6"/>
    <s v="BH FIRF INFRA"/>
    <n v="1.001813348375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10"/>
    <s v="BH FIRF INFRA"/>
    <n v="8.72527863975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1"/>
    <s v="BH FIRF INFRA"/>
    <n v="16.801506761222221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11"/>
    <s v="BH FIRF INFRA"/>
    <n v="11.592694061339291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9"/>
    <s v="BH FIRF INFRA"/>
    <n v="3.4559927785714288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6"/>
    <s v="BH FIRF INFRA"/>
    <n v="3.6642155556999998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9"/>
    <s v="BH FIRF INFRA"/>
    <n v="5.6282538803571436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11"/>
    <s v="BH FIRF INFRA"/>
    <n v="30.926232247357149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10"/>
    <s v="BH FIRF INFRA"/>
    <n v="1.116565884388889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1"/>
    <s v="BH FIRF INFRA"/>
    <n v="33.074647425972223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9"/>
    <s v="BH FIRF INFRA"/>
    <n v="0.63819865000000009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11"/>
    <s v="BH FIRF INFRA"/>
    <n v="1013.996215903492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5"/>
    <s v="BH FIRF INFRA"/>
    <n v="6.9292057001650793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11"/>
    <s v="BH FIRF INFRA"/>
    <n v="36.383028450293651"/>
    <x v="2"/>
    <s v="2030-06-15"/>
    <s v="Debêntures"/>
    <x v="0"/>
    <s v="1026.883279"/>
    <s v="1026.883279"/>
    <x v="11"/>
    <s v="1041.96"/>
    <n v="2"/>
    <n v="7.49"/>
    <n v="1.8471999999999991"/>
    <d v="2025-05-05T00:00:00"/>
  </r>
  <r>
    <x v="5"/>
    <s v="BH FIRF INFRA"/>
    <n v="96.807198612317464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10"/>
    <s v="BH FIRF INFRA"/>
    <n v="10.40601879005556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0"/>
    <s v="BH FIRF INFRA"/>
    <n v="275.70009212646443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5"/>
    <s v="BH FIRF INFRA"/>
    <n v="3.0161161329000001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10"/>
    <s v="BH FIRF INFRA"/>
    <n v="290.49299832182538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0"/>
    <s v="BH FIRF INFRA"/>
    <n v="15.47894960359524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2"/>
    <s v="BH FIRF INFRA"/>
    <n v="2.6366987752000002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2"/>
    <s v="BH FIRF INFRA"/>
    <n v="97.140237393409549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5"/>
    <s v="BH FIRF INFRA"/>
    <n v="5.404053832552381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5"/>
    <s v="BH FIRF INFRA"/>
    <n v="102.1799939772159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10"/>
    <s v="BH FIRF INFRA"/>
    <n v="12.89810100411111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0"/>
    <s v="BH FIRF INFRA"/>
    <n v="14.13510889266667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2"/>
    <s v="BH FIRF INFRA"/>
    <n v="0.94290290796428577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2"/>
    <s v="BH FIRF INFRA"/>
    <n v="1.8446294150071429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2"/>
    <s v="BH FIRF INFRA"/>
    <n v="2.7598109830476192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0"/>
    <s v="BH FIRF INFRA"/>
    <n v="18.136173687896829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2"/>
    <s v="BH FIRF INFRA"/>
    <n v="3.473695782209524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2"/>
    <s v="BH FIRF INFRA"/>
    <n v="6.027480861380953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2"/>
    <s v="BH FIRF INFRA"/>
    <n v="82.010163712714288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2"/>
    <s v="BH FIRF INFRA"/>
    <n v="4.7171801236095243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2"/>
    <s v="BH FIRF INFRA"/>
    <n v="90.901460474500013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2"/>
    <s v="BH FIRF INFRA"/>
    <n v="4.3576025929285729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0"/>
    <s v="BH FIRF INFRA"/>
    <n v="17.087904718817459"/>
    <x v="2"/>
    <s v="2031-07-15"/>
    <s v="Debêntures"/>
    <x v="0"/>
    <s v="997.612478"/>
    <s v="997.612478"/>
    <x v="10"/>
    <s v="1146.46"/>
    <n v="2"/>
    <n v="7.49"/>
    <n v="1.8210999999999991"/>
    <d v="2025-05-05T00:00:00"/>
  </r>
  <r>
    <x v="12"/>
    <s v="BH FIRF INFRA"/>
    <n v="5.0203086202285716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12"/>
    <s v="BH FIRF INFRA"/>
    <n v="5.6113744009714281"/>
    <x v="2"/>
    <s v="2031-10-15"/>
    <s v="Debêntures"/>
    <x v="0"/>
    <s v="1137.948574"/>
    <s v="1137.948574"/>
    <x v="12"/>
    <s v="1170.22"/>
    <n v="2"/>
    <n v="7.49"/>
    <n v="0.14459999999999959"/>
    <d v="2025-05-05T00:00:00"/>
  </r>
  <r>
    <x v="8"/>
    <s v="BH FIRF INFRA"/>
    <n v="27.217002826297609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13"/>
    <s v="BH FIRF INFRA"/>
    <n v="14.93708132295556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14"/>
    <s v="BH FIRF INFRA"/>
    <n v="20.43070720336905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13"/>
    <s v="BH FIRF INFRA"/>
    <n v="10.69099194339722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13"/>
    <s v="BH FIRF INFRA"/>
    <n v="18.23994553711071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13"/>
    <s v="BH FIRF INFRA"/>
    <n v="24.557039824703569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13"/>
    <s v="BH FIRF INFRA"/>
    <n v="22.29564467684445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14"/>
    <s v="BH FIRF INFRA"/>
    <n v="17.568075330928568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13"/>
    <s v="BH FIRF INFRA"/>
    <n v="6.8961301499309533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8"/>
    <s v="BH FIRF INFRA"/>
    <n v="2.4723371927924598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13"/>
    <s v="BH FIRF INFRA"/>
    <n v="1.8839051825805559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14"/>
    <s v="BH FIRF INFRA"/>
    <n v="21.173646779999999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5"/>
    <s v="BH FIRF INFRA"/>
    <n v="4.5841851649888898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14"/>
    <s v="BH FIRF INFRA"/>
    <n v="10.199467383547621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13"/>
    <s v="BH FIRF INFRA"/>
    <n v="526.57588592152774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6"/>
    <s v="BH FIRF INFRA"/>
    <n v="7.9201505739999991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14"/>
    <s v="BH FIRF INFRA"/>
    <n v="6.7600961940416671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8"/>
    <s v="BH FIRF INFRA"/>
    <n v="1.0127366928206349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13"/>
    <s v="BH FIRF INFRA"/>
    <n v="437.78938072730477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8"/>
    <s v="BH FIRF INFRA"/>
    <n v="1.8429871321142861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14"/>
    <s v="BH FIRF INFRA"/>
    <n v="15.485437161071429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13"/>
    <s v="BH FIRF INFRA"/>
    <n v="27.02194603969366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13"/>
    <s v="BH FIRF INFRA"/>
    <n v="12.34618185120873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8"/>
    <s v="BH FIRF INFRA"/>
    <n v="28.689322130666671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13"/>
    <s v="BH FIRF INFRA"/>
    <n v="488.9666416212774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14"/>
    <s v="BH FIRF INFRA"/>
    <n v="12.563569538077379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13"/>
    <s v="BH FIRF INFRA"/>
    <n v="21.312330009533731"/>
    <x v="2"/>
    <s v="2031-07-15"/>
    <s v="Debêntures"/>
    <x v="0"/>
    <s v="1103.302887"/>
    <s v="1103.302887"/>
    <x v="13"/>
    <s v="1127.07"/>
    <n v="2"/>
    <n v="7.49"/>
    <n v="0.75590000000000046"/>
    <d v="2025-05-05T00:00:00"/>
  </r>
  <r>
    <x v="14"/>
    <s v="BH FIRF INFRA"/>
    <n v="24.343483558952379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5"/>
    <s v="BH FIRF INFRA"/>
    <n v="3.806869052044445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14"/>
    <s v="BH FIRF INFRA"/>
    <n v="349.87122878190479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3"/>
    <s v="BH FIRF INFRA"/>
    <n v="36.613459141790472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8"/>
    <s v="BH FIRF INFRA"/>
    <n v="1.2295602535682539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3"/>
    <s v="BH FIRF INFRA"/>
    <n v="455.67410688061437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3"/>
    <s v="BH FIRF INFRA"/>
    <n v="492.96203895792701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14"/>
    <s v="BH FIRF INFRA"/>
    <n v="10.36001446497024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8"/>
    <s v="BH FIRF INFRA"/>
    <n v="1.521677950374603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3"/>
    <s v="BH FIRF INFRA"/>
    <n v="28.30253744454286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3"/>
    <s v="BH FIRF INFRA"/>
    <n v="31.891222604799999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3"/>
    <s v="BH FIRF INFRA"/>
    <n v="23.42107575382143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8"/>
    <s v="BH FIRF INFRA"/>
    <n v="0.82022210509841276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3"/>
    <s v="BH FIRF INFRA"/>
    <n v="19.02854432402302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5"/>
    <s v="BH FIRF INFRA"/>
    <n v="2.6345885365571431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4"/>
    <s v="BH FIRF INFRA"/>
    <n v="5.9499101309111113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4"/>
    <s v="BH FIRF INFRA"/>
    <n v="1.0004261309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3"/>
    <s v="BH FIRF INFRA"/>
    <n v="30.813935149084919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3"/>
    <s v="BH FIRF INFRA"/>
    <n v="26.534226379938101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4"/>
    <s v="BH FIRF INFRA"/>
    <n v="3.8261369491999999"/>
    <x v="2"/>
    <s v="2034-07-15"/>
    <s v="Debêntures"/>
    <x v="0"/>
    <s v="1330.071487"/>
    <s v="1330.071487"/>
    <x v="4"/>
    <s v="1261.05"/>
    <n v="2"/>
    <n v="7.49"/>
    <n v="0.56289999999999907"/>
    <d v="2025-05-05T00:00:00"/>
  </r>
  <r>
    <x v="14"/>
    <s v="BH FIRF INFRA"/>
    <n v="305.15151291880358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8"/>
    <s v="BH FIRF INFRA"/>
    <n v="2.1359275836646821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8"/>
    <s v="BH FIRF INFRA"/>
    <n v="2.4056727253571428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14"/>
    <s v="BH FIRF INFRA"/>
    <n v="331.14899267109519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6"/>
    <s v="BH FIRF INFRA"/>
    <n v="18.619632883424998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3"/>
    <s v="BH FIRF INFRA"/>
    <n v="519.27301256448254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3"/>
    <s v="BH FIRF INFRA"/>
    <n v="15.49395218952778"/>
    <x v="2"/>
    <s v="2032-05-15"/>
    <s v="Debêntures"/>
    <x v="0"/>
    <s v="1080.034788"/>
    <s v="1080.034788"/>
    <x v="3"/>
    <s v="1234.13"/>
    <n v="2"/>
    <n v="7.49"/>
    <n v="0.39309999999999962"/>
    <d v="2025-05-05T00:00:00"/>
  </r>
  <r>
    <x v="8"/>
    <s v="BH FIRF INFRA"/>
    <n v="1.9175142055928569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14"/>
    <s v="BH FIRF INFRA"/>
    <n v="18.871573989976191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9"/>
    <s v="BH FIRF INFRA"/>
    <n v="15.390440297619049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9"/>
    <s v="BH FIRF INFRA"/>
    <n v="13.91437596071429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6"/>
    <s v="BH FIRF INFRA"/>
    <n v="5.6738145647749993"/>
    <x v="2"/>
    <s v="2034-01-15"/>
    <s v="Debêntures"/>
    <x v="0"/>
    <s v="10.333228"/>
    <s v="10.333228"/>
    <x v="6"/>
    <s v="1244.98"/>
    <n v="2"/>
    <n v="7.49"/>
    <n v="0.97299999999999898"/>
    <d v="2025-05-05T00:00:00"/>
  </r>
  <r>
    <x v="9"/>
    <s v="BH FIRF INFRA"/>
    <n v="171.1855806428571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9"/>
    <s v="BH FIRF INFRA"/>
    <n v="9.9460741095238099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9"/>
    <s v="BH FIRF INFRA"/>
    <n v="8.1975962666666682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5"/>
    <s v="BH FIRF INFRA"/>
    <n v="6.3131667148126986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9"/>
    <s v="BH FIRF INFRA"/>
    <n v="12.242874504761909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9"/>
    <s v="BH FIRF INFRA"/>
    <n v="12.18958925238095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9"/>
    <s v="BH FIRF INFRA"/>
    <n v="203.1296103964286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8"/>
    <s v="BH FIRF INFRA"/>
    <n v="29.15417729037619"/>
    <x v="2"/>
    <s v="2031-09-15"/>
    <s v="Debêntures"/>
    <x v="0"/>
    <s v="1021.842086"/>
    <s v="1021.842086"/>
    <x v="8"/>
    <s v="1085.7"/>
    <n v="2"/>
    <n v="7.49"/>
    <n v="5.1301000000000014"/>
    <d v="2025-05-05T00:00:00"/>
  </r>
  <r>
    <x v="14"/>
    <s v="BH FIRF INFRA"/>
    <n v="4.0436523576428574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14"/>
    <s v="BH FIRF INFRA"/>
    <n v="0.19490739720833331"/>
    <x v="2"/>
    <s v="2032-05-15"/>
    <s v="Debêntures"/>
    <x v="0"/>
    <s v="1089.907306"/>
    <s v="1089.907306"/>
    <x v="14"/>
    <s v="1237.99"/>
    <n v="2"/>
    <n v="7.49"/>
    <n v="9.0399999999999814E-2"/>
    <d v="2025-05-05T00:00:00"/>
  </r>
  <r>
    <x v="5"/>
    <s v="BH FIRF INFRA"/>
    <n v="5.5981551588063487"/>
    <x v="2"/>
    <s v="2031-06-15"/>
    <s v="Debêntures"/>
    <x v="0"/>
    <s v="1118.413482"/>
    <s v="1118.413482"/>
    <x v="5"/>
    <s v="1065.81"/>
    <n v="2"/>
    <n v="7.49"/>
    <n v="2.4682999999999988"/>
    <d v="2025-05-05T00:00:00"/>
  </r>
  <r>
    <x v="9"/>
    <s v="BH FIRF INFRA"/>
    <n v="6.9099202124999994"/>
    <x v="2"/>
    <s v="2031-06-15"/>
    <s v="Debêntures"/>
    <x v="0"/>
    <s v="1040.826794"/>
    <s v="1040.826794"/>
    <x v="9"/>
    <s v="1054.82"/>
    <n v="2"/>
    <n v="7.49"/>
    <n v="0.76660000000000039"/>
    <d v="2025-05-05T00:00:00"/>
  </r>
  <r>
    <x v="15"/>
    <s v="BH FIRF INFRA"/>
    <n v="26.108419380209529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24.266829580680561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7.267647493557539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25.79351613475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3.7366047512400802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20.173123164938101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13.276929519234921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18.304609846930951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16.112911876357138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10.60877589142857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23.355828596376188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21.545077139630159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6"/>
    <s v="BH FIRF INFRA"/>
    <n v="15.615694092625001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12.47240154306667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20.026756126483331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17.953720376939291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5"/>
    <s v="BH FIRF INFRA"/>
    <n v="74.245773896567059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6"/>
    <s v="BH FIRF INFRA"/>
    <n v="3.4061963933511912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9.9294943777857139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6.6499037190666677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7"/>
    <s v="BH FIRF INFRA"/>
    <n v="5.443336706027778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10.623434762166671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6"/>
    <s v="BH FIRF INFRA"/>
    <n v="18.232300460628569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180.81949145542859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7"/>
    <s v="BH FIRF INFRA"/>
    <n v="24.918161059166671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15.85647169502778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19.910624078755561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6"/>
    <s v="BH FIRF INFRA"/>
    <n v="189.95308899579049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196.1419399557619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194.83741926945481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6.7178693282380957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6"/>
    <s v="BH FIRF INFRA"/>
    <n v="12.89756521533333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7"/>
    <s v="BH FIRF INFRA"/>
    <n v="28.63861332041667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547.50715718355559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6"/>
    <s v="BH FIRF INFRA"/>
    <n v="24.061612951042861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7"/>
    <s v="BH FIRF INFRA"/>
    <n v="17.398684498277781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538.97620324777779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6"/>
    <s v="BH FIRF INFRA"/>
    <n v="21.468155112485722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7"/>
    <s v="BH FIRF INFRA"/>
    <n v="32.603991489072222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38.339302790611107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6"/>
    <s v="BH FIRF INFRA"/>
    <n v="22.184421920375001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7"/>
    <s v="BH FIRF INFRA"/>
    <n v="34.221024624800002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31.933923021988889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39.983432165533337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520.64549985920007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6"/>
    <s v="BH FIRF INFRA"/>
    <n v="167.4213331780262"/>
    <x v="3"/>
    <s v="2034-04-15"/>
    <s v="Debêntures"/>
    <x v="0"/>
    <s v="1019.649593"/>
    <s v="1019.649593"/>
    <x v="16"/>
    <s v="1376.3"/>
    <n v="2"/>
    <n v="7.51"/>
    <n v="0.56130000000000102"/>
    <d v="2025-05-05T00:00:00"/>
  </r>
  <r>
    <x v="17"/>
    <s v="BH FIRF INFRA"/>
    <n v="44.48514508826667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7"/>
    <s v="BH FIRF INFRA"/>
    <n v="44.151681096250002"/>
    <x v="3"/>
    <s v="2033-10-15"/>
    <s v="Debêntures"/>
    <x v="0"/>
    <s v="1009.336059"/>
    <s v="1009.336059"/>
    <x v="17"/>
    <s v="1476.94"/>
    <n v="2"/>
    <n v="7.51"/>
    <n v="0.64170000000000016"/>
    <d v="2025-05-05T00:00:00"/>
  </r>
  <r>
    <x v="15"/>
    <s v="BH FIRF INFRA"/>
    <n v="44.477296241268263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28.016416480688889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44.392543406809523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27.274216717295239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27.46708307340834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59.511343981283339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75.974422213683724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44.037323752053567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60.352022015088899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5"/>
    <s v="BH FIRF INFRA"/>
    <n v="43.608855417642857"/>
    <x v="3"/>
    <s v="2036-10-15"/>
    <s v="Debêntures"/>
    <x v="0"/>
    <s v="1077.846048"/>
    <s v="1077.846048"/>
    <x v="15"/>
    <s v="1419.36"/>
    <n v="2"/>
    <n v="7.51"/>
    <n v="0.55700000000000038"/>
    <d v="2025-05-05T00:00:00"/>
  </r>
  <r>
    <x v="18"/>
    <s v="BH FIRF INFRA"/>
    <n v="13.92036738514286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10.186088788799999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9"/>
    <s v="BH FIRF INFRA"/>
    <n v="16.53419588848254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0"/>
    <s v="BH FIRF INFRA"/>
    <n v="35.78426644763492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29.853041910755561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3.770421309671431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24.981805179066669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15.10257368555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7.821101185228571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13.18968843489643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13.742589017155559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31.559634463046031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37.483451602638887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23.579978636190479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3.289984237539279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16.13600817131746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6.9307110949178572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17.685120287961901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9"/>
    <s v="BH FIRF INFRA"/>
    <n v="20.3977620675746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0"/>
    <s v="BH FIRF INFRA"/>
    <n v="37.676131829070641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4.90204296285714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8.1736339847035726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14.603292385125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36.163763406642857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4.533297748400001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9"/>
    <s v="BH FIRF INFRA"/>
    <n v="9.3157361701785728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0"/>
    <s v="BH FIRF INFRA"/>
    <n v="37.796883199884917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38.750096581444453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35.943559007777779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9"/>
    <s v="BH FIRF INFRA"/>
    <n v="1.016949956605159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0"/>
    <s v="BH FIRF INFRA"/>
    <n v="35.959995782110319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39.04389011206667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4.771673992228569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9"/>
    <s v="BH FIRF INFRA"/>
    <n v="5.7083576187626983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8"/>
    <s v="BH FIRF INFRA"/>
    <n v="14.900895862500001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9.1523948612142867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9"/>
    <s v="BH FIRF INFRA"/>
    <n v="13.59878966720556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8"/>
    <s v="BH FIRF INFRA"/>
    <n v="18.525716713232139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34.320618349436508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33.606220705199988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3.8492768675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36.794746644974602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7.8462192500357144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15.0885025776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36.213557005992072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35.689564527396819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3.877762085257149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9.3260677419428575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36.308669662571432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1"/>
    <s v="BH FIRF INFRA"/>
    <n v="28.522682632399999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9"/>
    <s v="BH FIRF INFRA"/>
    <n v="32.034087570708337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9"/>
    <s v="BH FIRF INFRA"/>
    <n v="32.262861889523798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1"/>
    <s v="BH FIRF INFRA"/>
    <n v="24.833227729200001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8"/>
    <s v="BH FIRF INFRA"/>
    <n v="12.59550224051786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9"/>
    <s v="BH FIRF INFRA"/>
    <n v="322.75109969123378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1"/>
    <s v="BH FIRF INFRA"/>
    <n v="20.65062745165357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20"/>
    <s v="BH FIRF INFRA"/>
    <n v="34.148869476944448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2.60245343013929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1"/>
    <s v="BH FIRF INFRA"/>
    <n v="28.752861269903569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21"/>
    <s v="BH FIRF INFRA"/>
    <n v="20.646239287182141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8"/>
    <s v="BH FIRF INFRA"/>
    <n v="12.80825919267857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9"/>
    <s v="BH FIRF INFRA"/>
    <n v="21.811930057872221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9"/>
    <s v="BH FIRF INFRA"/>
    <n v="30.728941056566661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8"/>
    <s v="BH FIRF INFRA"/>
    <n v="14.767284806121429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11.225459873249999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35.673533183785707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9"/>
    <s v="BH FIRF INFRA"/>
    <n v="323.25227138552299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8"/>
    <s v="BH FIRF INFRA"/>
    <n v="3.864033285600001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1"/>
    <s v="BH FIRF INFRA"/>
    <n v="342.19416128144758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21"/>
    <s v="BH FIRF INFRA"/>
    <n v="23.986258848933339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21"/>
    <s v="BH FIRF INFRA"/>
    <n v="37.285327870895237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9"/>
    <s v="BH FIRF INFRA"/>
    <n v="38.685765871735711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8"/>
    <s v="BH FIRF INFRA"/>
    <n v="2.556590429785714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1"/>
    <s v="BH FIRF INFRA"/>
    <n v="35.254992478330948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8"/>
    <s v="BH FIRF INFRA"/>
    <n v="12.150899448246429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11.73628733914286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9"/>
    <s v="BH FIRF INFRA"/>
    <n v="35.200011664565871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1"/>
    <s v="BH FIRF INFRA"/>
    <n v="29.640363592714291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9"/>
    <s v="BH FIRF INFRA"/>
    <n v="38.881062990085717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1"/>
    <s v="BH FIRF INFRA"/>
    <n v="337.79781392531441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8"/>
    <s v="BH FIRF INFRA"/>
    <n v="2.5531438447928578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1"/>
    <s v="BH FIRF INFRA"/>
    <n v="31.73969970191429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8"/>
    <s v="BH FIRF INFRA"/>
    <n v="12.23461866747857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1"/>
    <s v="BH FIRF INFRA"/>
    <n v="33.098713751661911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9"/>
    <s v="BH FIRF INFRA"/>
    <n v="41.648855774079372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9"/>
    <s v="BH FIRF INFRA"/>
    <n v="34.99105287126666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1"/>
    <s v="BH FIRF INFRA"/>
    <n v="36.267272797970243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20"/>
    <s v="BH FIRF INFRA"/>
    <n v="65.122794798873826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1"/>
    <s v="BH FIRF INFRA"/>
    <n v="342.09133187728452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9"/>
    <s v="BH FIRF INFRA"/>
    <n v="40.890217846467458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1"/>
    <s v="BH FIRF INFRA"/>
    <n v="18.217107353434521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20"/>
    <s v="BH FIRF INFRA"/>
    <n v="37.254517319850798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9"/>
    <s v="BH FIRF INFRA"/>
    <n v="25.75361246352897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0"/>
    <s v="BH FIRF INFRA"/>
    <n v="8.263398562322223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5.7282436666928573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12.17053469047619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9"/>
    <s v="BH FIRF INFRA"/>
    <n v="23.233285004680951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8"/>
    <s v="BH FIRF INFRA"/>
    <n v="10.76101608514286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18"/>
    <s v="BH FIRF INFRA"/>
    <n v="13.28762523424286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9.9777221453928586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36.231219093684132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6.2539909435928571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1"/>
    <s v="BH FIRF INFRA"/>
    <n v="12.022851845949999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9"/>
    <s v="BH FIRF INFRA"/>
    <n v="313.676627096554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9"/>
    <s v="BH FIRF INFRA"/>
    <n v="11.029794630534131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19"/>
    <s v="BH FIRF INFRA"/>
    <n v="319.87595136566671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0"/>
    <s v="BH FIRF INFRA"/>
    <n v="35.711446250546032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12.931063709325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1"/>
    <s v="BH FIRF INFRA"/>
    <n v="10.58524058428571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21"/>
    <s v="BH FIRF INFRA"/>
    <n v="14.79456534814762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8"/>
    <s v="BH FIRF INFRA"/>
    <n v="15.247574187450001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1"/>
    <s v="BH FIRF INFRA"/>
    <n v="0.23044466426666671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8"/>
    <s v="BH FIRF INFRA"/>
    <n v="45.491424363728576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0"/>
    <s v="BH FIRF INFRA"/>
    <n v="3.5306189807571431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20"/>
    <s v="BH FIRF INFRA"/>
    <n v="0.65826064953174601"/>
    <x v="4"/>
    <s v="2042-06-15"/>
    <s v="Debêntures"/>
    <x v="0"/>
    <s v="1213.912217"/>
    <s v="1213.912217"/>
    <x v="20"/>
    <s v="1865.38"/>
    <n v="2"/>
    <n v="7.4747000000000003"/>
    <n v="1.7889999999999999"/>
    <d v="2025-05-05T00:00:00"/>
  </r>
  <r>
    <x v="18"/>
    <s v="BH FIRF INFRA"/>
    <n v="4.9931112892714298"/>
    <x v="4"/>
    <s v="2044-03-15"/>
    <s v="Debêntures"/>
    <x v="0"/>
    <s v="1051.861168"/>
    <s v="1051.861168"/>
    <x v="18"/>
    <s v="1839.17"/>
    <n v="2"/>
    <n v="7.4747000000000003"/>
    <n v="0.4825999999999997"/>
    <d v="2025-05-05T00:00:00"/>
  </r>
  <r>
    <x v="21"/>
    <s v="BH FIRF INFRA"/>
    <n v="7.9764902496583323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21"/>
    <s v="BH FIRF INFRA"/>
    <n v="339.12919950218583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19"/>
    <s v="BH FIRF INFRA"/>
    <n v="27.736035627654761"/>
    <x v="4"/>
    <s v="2036-12-15"/>
    <s v="Debêntures"/>
    <x v="0"/>
    <s v="1052.088624"/>
    <s v="1052.088624"/>
    <x v="19"/>
    <s v="1763.6"/>
    <n v="2"/>
    <n v="7.4747000000000003"/>
    <n v="0.3091999999999997"/>
    <d v="2025-05-05T00:00:00"/>
  </r>
  <r>
    <x v="21"/>
    <s v="BH FIRF INFRA"/>
    <n v="4.776196310285715"/>
    <x v="4"/>
    <s v="2036-05-15"/>
    <s v="Debêntures"/>
    <x v="0"/>
    <s v="990.661999"/>
    <s v="990.661999"/>
    <x v="21"/>
    <s v="1737.39"/>
    <n v="2"/>
    <n v="7.4747000000000003"/>
    <n v="0.3243999999999998"/>
    <d v="2025-05-05T00:00:00"/>
  </r>
  <r>
    <x v="22"/>
    <s v="BH FIRF INFRA"/>
    <n v="28.084553249999999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1.087909657142859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.2803083616071431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28.448658814285711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6.4365489044642858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15.34458330803572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21.416745442857149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17.732119414285719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19.879785430357138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9.6594903571428592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25.29375188571429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12.194173628571431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24.124456762499999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3"/>
    <s v="BH FIRF INFRA"/>
    <n v="43.282769519892867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798.82524442028557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66.265555133666666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63.604886999357149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2"/>
    <s v="BH FIRF INFRA"/>
    <n v="1308.595931614286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3"/>
    <s v="BH FIRF INFRA"/>
    <n v="764.66831829067849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22.301673074083329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784.41369166346431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60.896364099375013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57.551974760017849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57.386670233250001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59.672838147571433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63.459003253666673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63.169107578642858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60.716564174589287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2"/>
    <s v="BH FIRF INFRA"/>
    <n v="39.891116761607137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9.076525604464287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9.687104382142863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3"/>
    <s v="BH FIRF INFRA"/>
    <n v="3.4524513055714281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45.173526409011913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42.716824172821433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39.932296461208331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49.383240434821417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55.580401688166667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53.142550741071418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49.722306306291671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35.616240202922633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19.117951491821429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14.60576787814286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9.6372145702380934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24.69717052001786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32.331258385047612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3"/>
    <s v="BH FIRF INFRA"/>
    <n v="29.125842433333339"/>
    <x v="5"/>
    <s v="2039-08-15"/>
    <s v="Debêntures"/>
    <x v="0"/>
    <s v="952.41779"/>
    <s v="952.41779"/>
    <x v="23"/>
    <s v="2258.78"/>
    <n v="2"/>
    <n v="7.3703000000000003"/>
    <n v="-0.1238000000000001"/>
    <d v="2025-05-05T00:00:00"/>
  </r>
  <r>
    <x v="22"/>
    <s v="BH FIRF INFRA"/>
    <n v="35.626135513392853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5.070088642857151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6.371943508928567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3.324674682142863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1.619361144642859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4.117457503571437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8.56063083392857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9.462972042857139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9.487439497321432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7.902368487499999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6.113447675000003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  <r>
    <x v="22"/>
    <s v="BH FIRF INFRA"/>
    <n v="37.469418606250002"/>
    <x v="5"/>
    <s v="2039-10-15"/>
    <s v="Debêntures"/>
    <x v="0"/>
    <s v="986.129985"/>
    <s v="986.129985"/>
    <x v="22"/>
    <s v="2391"/>
    <n v="2"/>
    <n v="7.3703000000000003"/>
    <n v="-0.39070000000000071"/>
    <d v="2025-05-05T00:00: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FF6512-1C29-40DB-8018-DDE20029B016}" name="Tabela dinâmica1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F52" firstHeaderRow="0" firstDataRow="1" firstDataCol="1"/>
  <pivotFields count="18">
    <pivotField axis="axisRow" showAll="0">
      <items count="25">
        <item x="13"/>
        <item x="18"/>
        <item x="0"/>
        <item x="4"/>
        <item x="2"/>
        <item x="21"/>
        <item x="7"/>
        <item x="3"/>
        <item x="14"/>
        <item x="9"/>
        <item x="11"/>
        <item x="12"/>
        <item x="19"/>
        <item x="17"/>
        <item x="16"/>
        <item x="15"/>
        <item x="1"/>
        <item x="23"/>
        <item x="8"/>
        <item x="6"/>
        <item x="20"/>
        <item x="10"/>
        <item x="22"/>
        <item x="5"/>
        <item t="default"/>
      </items>
    </pivotField>
    <pivotField showAll="0"/>
    <pivotField dataField="1"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numFmtId="165" showAll="0">
      <items count="2">
        <item x="0"/>
        <item t="default"/>
      </items>
    </pivotField>
    <pivotField showAll="0"/>
    <pivotField showAll="0"/>
    <pivotField dataField="1" showAll="0">
      <items count="25">
        <item x="22"/>
        <item x="23"/>
        <item x="7"/>
        <item x="14"/>
        <item x="12"/>
        <item x="19"/>
        <item x="21"/>
        <item x="3"/>
        <item x="18"/>
        <item x="2"/>
        <item x="4"/>
        <item x="15"/>
        <item x="16"/>
        <item x="17"/>
        <item x="13"/>
        <item x="9"/>
        <item x="1"/>
        <item x="6"/>
        <item x="0"/>
        <item x="20"/>
        <item x="10"/>
        <item x="11"/>
        <item x="5"/>
        <item x="8"/>
        <item t="default"/>
      </items>
    </pivotField>
    <pivotField showAll="0"/>
    <pivotField showAll="0"/>
    <pivotField showAll="0"/>
    <pivotField showAll="0"/>
    <pivotField numFmtId="166" showAll="0"/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2">
    <field x="0"/>
    <field x="3"/>
  </rowFields>
  <rowItems count="49">
    <i>
      <x/>
    </i>
    <i r="1">
      <x v="2"/>
    </i>
    <i>
      <x v="1"/>
    </i>
    <i r="1">
      <x v="4"/>
    </i>
    <i>
      <x v="2"/>
    </i>
    <i r="1">
      <x/>
    </i>
    <i>
      <x v="3"/>
    </i>
    <i r="1">
      <x v="2"/>
    </i>
    <i>
      <x v="4"/>
    </i>
    <i r="1">
      <x v="2"/>
    </i>
    <i>
      <x v="5"/>
    </i>
    <i r="1">
      <x v="4"/>
    </i>
    <i>
      <x v="6"/>
    </i>
    <i r="1">
      <x v="2"/>
    </i>
    <i>
      <x v="7"/>
    </i>
    <i r="1">
      <x v="2"/>
    </i>
    <i>
      <x v="8"/>
    </i>
    <i r="1">
      <x v="2"/>
    </i>
    <i>
      <x v="9"/>
    </i>
    <i r="1">
      <x v="2"/>
    </i>
    <i>
      <x v="10"/>
    </i>
    <i r="1">
      <x v="2"/>
    </i>
    <i>
      <x v="11"/>
    </i>
    <i r="1">
      <x v="2"/>
    </i>
    <i>
      <x v="12"/>
    </i>
    <i r="1">
      <x v="4"/>
    </i>
    <i>
      <x v="13"/>
    </i>
    <i r="1">
      <x v="3"/>
    </i>
    <i>
      <x v="14"/>
    </i>
    <i r="1">
      <x v="3"/>
    </i>
    <i>
      <x v="15"/>
    </i>
    <i r="1">
      <x v="3"/>
    </i>
    <i>
      <x v="16"/>
    </i>
    <i r="1">
      <x v="1"/>
    </i>
    <i>
      <x v="17"/>
    </i>
    <i r="1">
      <x v="5"/>
    </i>
    <i>
      <x v="18"/>
    </i>
    <i r="1">
      <x v="2"/>
    </i>
    <i>
      <x v="19"/>
    </i>
    <i r="1">
      <x v="2"/>
    </i>
    <i>
      <x v="20"/>
    </i>
    <i r="1">
      <x v="4"/>
    </i>
    <i>
      <x v="21"/>
    </i>
    <i r="1">
      <x v="2"/>
    </i>
    <i>
      <x v="22"/>
    </i>
    <i r="1">
      <x v="5"/>
    </i>
    <i>
      <x v="23"/>
    </i>
    <i r="1">
      <x v="2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oma de DIV1_ATIVO" fld="2" baseField="0" baseItem="0"/>
    <dataField name="Média de TAX_INDIC" fld="9" subtotal="average" baseField="0" baseItem="0"/>
    <dataField name="Soma de Campo1" fld="15" baseField="0" baseItem="0"/>
    <dataField name="Soma de Peso" fld="16" baseField="0" baseItem="0"/>
    <dataField name="Média de Taxa Ponderada" fld="17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9DFDFF5-D85C-4FD3-8667-3F43D86A63E9}" name="Tabela dinâ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52" firstHeaderRow="1" firstDataRow="1" firstDataCol="1"/>
  <pivotFields count="18">
    <pivotField axis="axisRow" showAll="0">
      <items count="25">
        <item x="13"/>
        <item x="18"/>
        <item x="0"/>
        <item x="4"/>
        <item x="2"/>
        <item x="21"/>
        <item x="7"/>
        <item x="3"/>
        <item x="14"/>
        <item x="9"/>
        <item x="11"/>
        <item x="12"/>
        <item x="19"/>
        <item x="17"/>
        <item x="16"/>
        <item x="15"/>
        <item x="1"/>
        <item x="23"/>
        <item x="8"/>
        <item x="6"/>
        <item x="20"/>
        <item x="10"/>
        <item x="22"/>
        <item x="5"/>
        <item t="default"/>
      </items>
    </pivotField>
    <pivotField showAll="0"/>
    <pivotField showAll="0"/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numFmtId="165" showAll="0"/>
    <pivotField showAll="0"/>
    <pivotField showAll="0"/>
    <pivotField showAll="0"/>
    <pivotField showAll="0"/>
    <pivotField showAll="0"/>
    <pivotField showAll="0"/>
    <pivotField showAll="0"/>
    <pivotField numFmtId="166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2">
    <field x="0"/>
    <field x="3"/>
  </rowFields>
  <rowItems count="49">
    <i>
      <x/>
    </i>
    <i r="1">
      <x v="2"/>
    </i>
    <i>
      <x v="1"/>
    </i>
    <i r="1">
      <x v="4"/>
    </i>
    <i>
      <x v="2"/>
    </i>
    <i r="1">
      <x/>
    </i>
    <i>
      <x v="3"/>
    </i>
    <i r="1">
      <x v="2"/>
    </i>
    <i>
      <x v="4"/>
    </i>
    <i r="1">
      <x v="2"/>
    </i>
    <i>
      <x v="5"/>
    </i>
    <i r="1">
      <x v="4"/>
    </i>
    <i>
      <x v="6"/>
    </i>
    <i r="1">
      <x v="2"/>
    </i>
    <i>
      <x v="7"/>
    </i>
    <i r="1">
      <x v="2"/>
    </i>
    <i>
      <x v="8"/>
    </i>
    <i r="1">
      <x v="2"/>
    </i>
    <i>
      <x v="9"/>
    </i>
    <i r="1">
      <x v="2"/>
    </i>
    <i>
      <x v="10"/>
    </i>
    <i r="1">
      <x v="2"/>
    </i>
    <i>
      <x v="11"/>
    </i>
    <i r="1">
      <x v="2"/>
    </i>
    <i>
      <x v="12"/>
    </i>
    <i r="1">
      <x v="4"/>
    </i>
    <i>
      <x v="13"/>
    </i>
    <i r="1">
      <x v="3"/>
    </i>
    <i>
      <x v="14"/>
    </i>
    <i r="1">
      <x v="3"/>
    </i>
    <i>
      <x v="15"/>
    </i>
    <i r="1">
      <x v="3"/>
    </i>
    <i>
      <x v="16"/>
    </i>
    <i r="1">
      <x v="1"/>
    </i>
    <i>
      <x v="17"/>
    </i>
    <i r="1">
      <x v="5"/>
    </i>
    <i>
      <x v="18"/>
    </i>
    <i r="1">
      <x v="2"/>
    </i>
    <i>
      <x v="19"/>
    </i>
    <i r="1">
      <x v="2"/>
    </i>
    <i>
      <x v="20"/>
    </i>
    <i r="1">
      <x v="4"/>
    </i>
    <i>
      <x v="21"/>
    </i>
    <i r="1">
      <x v="2"/>
    </i>
    <i>
      <x v="22"/>
    </i>
    <i r="1">
      <x v="5"/>
    </i>
    <i>
      <x v="23"/>
    </i>
    <i r="1">
      <x v="2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CB226F2-05D9-4173-A9D7-EF253A71A64F}" name="Tabela dinâmica4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28" firstHeaderRow="1" firstDataRow="1" firstDataCol="1"/>
  <pivotFields count="18">
    <pivotField axis="axisRow" showAll="0">
      <items count="25">
        <item x="13"/>
        <item x="18"/>
        <item x="0"/>
        <item x="4"/>
        <item x="2"/>
        <item x="21"/>
        <item x="7"/>
        <item x="3"/>
        <item x="14"/>
        <item x="9"/>
        <item x="11"/>
        <item x="12"/>
        <item x="19"/>
        <item x="17"/>
        <item x="16"/>
        <item x="15"/>
        <item x="1"/>
        <item x="23"/>
        <item x="8"/>
        <item x="6"/>
        <item x="20"/>
        <item x="10"/>
        <item x="22"/>
        <item x="5"/>
        <item t="default"/>
      </items>
    </pivotField>
    <pivotField showAll="0"/>
    <pivotField showAll="0"/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numFmtId="165" showAll="0"/>
    <pivotField showAll="0"/>
    <pivotField showAll="0"/>
    <pivotField dataField="1" showAll="0"/>
    <pivotField showAll="0"/>
    <pivotField showAll="0"/>
    <pivotField showAll="0"/>
    <pivotField showAll="0"/>
    <pivotField numFmtId="166" showAll="0"/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Média de TAX_INDIC" fld="9" subtotal="average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6B3C3-FC8E-4FF2-8B38-42A1646E18FA}">
  <dimension ref="A3:F52"/>
  <sheetViews>
    <sheetView workbookViewId="0">
      <selection activeCell="B5" sqref="B5"/>
    </sheetView>
  </sheetViews>
  <sheetFormatPr defaultRowHeight="15" x14ac:dyDescent="0.25"/>
  <cols>
    <col min="1" max="1" width="18" bestFit="1" customWidth="1"/>
    <col min="2" max="2" width="20" bestFit="1" customWidth="1"/>
    <col min="3" max="3" width="19.5703125" bestFit="1" customWidth="1"/>
    <col min="4" max="4" width="16.28515625" bestFit="1" customWidth="1"/>
    <col min="5" max="5" width="13.42578125" bestFit="1" customWidth="1"/>
    <col min="6" max="6" width="24.28515625" bestFit="1" customWidth="1"/>
  </cols>
  <sheetData>
    <row r="3" spans="1:6" x14ac:dyDescent="0.25">
      <c r="A3" s="4" t="s">
        <v>114</v>
      </c>
      <c r="B3" t="s">
        <v>116</v>
      </c>
      <c r="C3" t="s">
        <v>117</v>
      </c>
      <c r="D3" t="s">
        <v>118</v>
      </c>
      <c r="E3" t="s">
        <v>119</v>
      </c>
      <c r="F3" t="s">
        <v>120</v>
      </c>
    </row>
    <row r="4" spans="1:6" x14ac:dyDescent="0.25">
      <c r="A4" s="5" t="s">
        <v>69</v>
      </c>
      <c r="B4" s="6">
        <v>1613.5131048080691</v>
      </c>
      <c r="C4" s="6">
        <v>8.2459000000000024</v>
      </c>
      <c r="D4" s="6">
        <v>27415</v>
      </c>
      <c r="E4" s="6">
        <v>5.8854928096712902E-2</v>
      </c>
      <c r="F4" s="6">
        <v>6.3090540707049056</v>
      </c>
    </row>
    <row r="5" spans="1:6" x14ac:dyDescent="0.25">
      <c r="A5" s="8" t="s">
        <v>28</v>
      </c>
      <c r="B5" s="6">
        <v>1613.5131048080691</v>
      </c>
      <c r="C5" s="6">
        <v>8.2459000000000024</v>
      </c>
      <c r="D5" s="6">
        <v>27415</v>
      </c>
      <c r="E5" s="6">
        <v>5.8854928096712902E-2</v>
      </c>
      <c r="F5" s="6">
        <v>6.3090540707049056</v>
      </c>
    </row>
    <row r="6" spans="1:6" x14ac:dyDescent="0.25">
      <c r="A6" s="5" t="s">
        <v>88</v>
      </c>
      <c r="B6" s="6">
        <v>476.7194778393</v>
      </c>
      <c r="C6" s="6">
        <v>7.9572999999999992</v>
      </c>
      <c r="D6" s="6">
        <v>27415</v>
      </c>
      <c r="E6" s="6">
        <v>1.7388944971644341E-2</v>
      </c>
      <c r="F6" s="6">
        <v>5.2580239692688888</v>
      </c>
    </row>
    <row r="7" spans="1:6" x14ac:dyDescent="0.25">
      <c r="A7" s="8" t="s">
        <v>89</v>
      </c>
      <c r="B7" s="6">
        <v>476.7194778393</v>
      </c>
      <c r="C7" s="6">
        <v>7.9572999999999992</v>
      </c>
      <c r="D7" s="6">
        <v>27415</v>
      </c>
      <c r="E7" s="6">
        <v>1.7388944971644341E-2</v>
      </c>
      <c r="F7" s="6">
        <v>5.2580239692688888</v>
      </c>
    </row>
    <row r="8" spans="1:6" x14ac:dyDescent="0.25">
      <c r="A8" s="5" t="s">
        <v>15</v>
      </c>
      <c r="B8" s="6">
        <v>942.86026566008877</v>
      </c>
      <c r="C8" s="6">
        <v>8.6034000000000006</v>
      </c>
      <c r="D8" s="6">
        <v>27415</v>
      </c>
      <c r="E8" s="6">
        <v>3.4392018865736479E-2</v>
      </c>
      <c r="F8" s="6">
        <v>2.3671063608758178</v>
      </c>
    </row>
    <row r="9" spans="1:6" x14ac:dyDescent="0.25">
      <c r="A9" s="8" t="s">
        <v>17</v>
      </c>
      <c r="B9" s="6">
        <v>942.86026566008877</v>
      </c>
      <c r="C9" s="6">
        <v>8.6034000000000006</v>
      </c>
      <c r="D9" s="6">
        <v>27415</v>
      </c>
      <c r="E9" s="6">
        <v>3.4392018865736479E-2</v>
      </c>
      <c r="F9" s="6">
        <v>2.3671063608758178</v>
      </c>
    </row>
    <row r="10" spans="1:6" x14ac:dyDescent="0.25">
      <c r="A10" s="5" t="s">
        <v>36</v>
      </c>
      <c r="B10" s="6">
        <v>902.96592468164897</v>
      </c>
      <c r="C10" s="6">
        <v>8.0528999999999975</v>
      </c>
      <c r="D10" s="6">
        <v>27415</v>
      </c>
      <c r="E10" s="6">
        <v>3.293682239862683E-2</v>
      </c>
      <c r="F10" s="6">
        <v>5.0395018047841358</v>
      </c>
    </row>
    <row r="11" spans="1:6" x14ac:dyDescent="0.25">
      <c r="A11" s="8" t="s">
        <v>28</v>
      </c>
      <c r="B11" s="6">
        <v>902.96592468164897</v>
      </c>
      <c r="C11" s="6">
        <v>8.0528999999999975</v>
      </c>
      <c r="D11" s="6">
        <v>27415</v>
      </c>
      <c r="E11" s="6">
        <v>3.293682239862683E-2</v>
      </c>
      <c r="F11" s="6">
        <v>5.0395018047841358</v>
      </c>
    </row>
    <row r="12" spans="1:6" x14ac:dyDescent="0.25">
      <c r="A12" s="5" t="s">
        <v>27</v>
      </c>
      <c r="B12" s="6">
        <v>169.66176921139999</v>
      </c>
      <c r="C12" s="6">
        <v>8.0357999999999983</v>
      </c>
      <c r="D12" s="6">
        <v>27415</v>
      </c>
      <c r="E12" s="6">
        <v>6.1886272865976097E-3</v>
      </c>
      <c r="F12" s="6">
        <v>0.94488085184318016</v>
      </c>
    </row>
    <row r="13" spans="1:6" x14ac:dyDescent="0.25">
      <c r="A13" s="8" t="s">
        <v>28</v>
      </c>
      <c r="B13" s="6">
        <v>169.66176921139999</v>
      </c>
      <c r="C13" s="6">
        <v>8.0357999999999983</v>
      </c>
      <c r="D13" s="6">
        <v>27415</v>
      </c>
      <c r="E13" s="6">
        <v>6.1886272865976097E-3</v>
      </c>
      <c r="F13" s="6">
        <v>0.94488085184318016</v>
      </c>
    </row>
    <row r="14" spans="1:6" x14ac:dyDescent="0.25">
      <c r="A14" s="5" t="s">
        <v>101</v>
      </c>
      <c r="B14" s="6">
        <v>1780.4936703550209</v>
      </c>
      <c r="C14" s="6">
        <v>7.799100000000001</v>
      </c>
      <c r="D14" s="6">
        <v>27415</v>
      </c>
      <c r="E14" s="6">
        <v>6.4945755093735236E-2</v>
      </c>
      <c r="F14" s="6">
        <v>11.649924086685663</v>
      </c>
    </row>
    <row r="15" spans="1:6" x14ac:dyDescent="0.25">
      <c r="A15" s="8" t="s">
        <v>89</v>
      </c>
      <c r="B15" s="6">
        <v>1780.4936703550209</v>
      </c>
      <c r="C15" s="6">
        <v>7.799100000000001</v>
      </c>
      <c r="D15" s="6">
        <v>27415</v>
      </c>
      <c r="E15" s="6">
        <v>6.4945755093735236E-2</v>
      </c>
      <c r="F15" s="6">
        <v>11.649924086685663</v>
      </c>
    </row>
    <row r="16" spans="1:6" x14ac:dyDescent="0.25">
      <c r="A16" s="5" t="s">
        <v>47</v>
      </c>
      <c r="B16" s="6">
        <v>1775.6090306390743</v>
      </c>
      <c r="C16" s="6">
        <v>7.4328000000000003</v>
      </c>
      <c r="D16" s="6">
        <v>27415</v>
      </c>
      <c r="E16" s="6">
        <v>6.4767581691608081E-2</v>
      </c>
      <c r="F16" s="6">
        <v>6.2582582555659991</v>
      </c>
    </row>
    <row r="17" spans="1:6" x14ac:dyDescent="0.25">
      <c r="A17" s="8" t="s">
        <v>28</v>
      </c>
      <c r="B17" s="6">
        <v>1775.6090306390743</v>
      </c>
      <c r="C17" s="6">
        <v>7.4328000000000003</v>
      </c>
      <c r="D17" s="6">
        <v>27415</v>
      </c>
      <c r="E17" s="6">
        <v>6.4767581691608081E-2</v>
      </c>
      <c r="F17" s="6">
        <v>6.2582582555659991</v>
      </c>
    </row>
    <row r="18" spans="1:6" x14ac:dyDescent="0.25">
      <c r="A18" s="5" t="s">
        <v>32</v>
      </c>
      <c r="B18" s="6">
        <v>1712.1912780206803</v>
      </c>
      <c r="C18" s="6">
        <v>7.8830999999999998</v>
      </c>
      <c r="D18" s="6">
        <v>27415</v>
      </c>
      <c r="E18" s="6">
        <v>6.2454339078772486E-2</v>
      </c>
      <c r="F18" s="6">
        <v>7.3850070058780704</v>
      </c>
    </row>
    <row r="19" spans="1:6" x14ac:dyDescent="0.25">
      <c r="A19" s="8" t="s">
        <v>28</v>
      </c>
      <c r="B19" s="6">
        <v>1712.1912780206803</v>
      </c>
      <c r="C19" s="6">
        <v>7.8830999999999998</v>
      </c>
      <c r="D19" s="6">
        <v>27415</v>
      </c>
      <c r="E19" s="6">
        <v>6.2454339078772486E-2</v>
      </c>
      <c r="F19" s="6">
        <v>7.3850070058780704</v>
      </c>
    </row>
    <row r="20" spans="1:6" x14ac:dyDescent="0.25">
      <c r="A20" s="5" t="s">
        <v>72</v>
      </c>
      <c r="B20" s="6">
        <v>1148.1663657315892</v>
      </c>
      <c r="C20" s="6">
        <v>7.5803999999999983</v>
      </c>
      <c r="D20" s="6">
        <v>27415</v>
      </c>
      <c r="E20" s="6">
        <v>4.1880818133321E-2</v>
      </c>
      <c r="F20" s="6">
        <v>4.7621003066673966</v>
      </c>
    </row>
    <row r="21" spans="1:6" x14ac:dyDescent="0.25">
      <c r="A21" s="8" t="s">
        <v>28</v>
      </c>
      <c r="B21" s="6">
        <v>1148.1663657315892</v>
      </c>
      <c r="C21" s="6">
        <v>7.5803999999999983</v>
      </c>
      <c r="D21" s="6">
        <v>27415</v>
      </c>
      <c r="E21" s="6">
        <v>4.1880818133321E-2</v>
      </c>
      <c r="F21" s="6">
        <v>4.7621003066673966</v>
      </c>
    </row>
    <row r="22" spans="1:6" x14ac:dyDescent="0.25">
      <c r="A22" s="5" t="s">
        <v>54</v>
      </c>
      <c r="B22" s="6">
        <v>653.23481552380952</v>
      </c>
      <c r="C22" s="6">
        <v>8.2566000000000024</v>
      </c>
      <c r="D22" s="6">
        <v>27415</v>
      </c>
      <c r="E22" s="6">
        <v>2.3827564823216338E-2</v>
      </c>
      <c r="F22" s="6">
        <v>2.557550732351785</v>
      </c>
    </row>
    <row r="23" spans="1:6" x14ac:dyDescent="0.25">
      <c r="A23" s="8" t="s">
        <v>28</v>
      </c>
      <c r="B23" s="6">
        <v>653.23481552380952</v>
      </c>
      <c r="C23" s="6">
        <v>8.2566000000000024</v>
      </c>
      <c r="D23" s="6">
        <v>27415</v>
      </c>
      <c r="E23" s="6">
        <v>2.3827564823216338E-2</v>
      </c>
      <c r="F23" s="6">
        <v>2.557550732351785</v>
      </c>
    </row>
    <row r="24" spans="1:6" x14ac:dyDescent="0.25">
      <c r="A24" s="5" t="s">
        <v>61</v>
      </c>
      <c r="B24" s="6">
        <v>1224.4858154100657</v>
      </c>
      <c r="C24" s="6">
        <v>9.3371999999999975</v>
      </c>
      <c r="D24" s="6">
        <v>27415</v>
      </c>
      <c r="E24" s="6">
        <v>4.4664666439121863E-2</v>
      </c>
      <c r="F24" s="6">
        <v>4.5874721582290539</v>
      </c>
    </row>
    <row r="25" spans="1:6" x14ac:dyDescent="0.25">
      <c r="A25" s="8" t="s">
        <v>28</v>
      </c>
      <c r="B25" s="6">
        <v>1224.4858154100657</v>
      </c>
      <c r="C25" s="6">
        <v>9.3371999999999975</v>
      </c>
      <c r="D25" s="6">
        <v>27415</v>
      </c>
      <c r="E25" s="6">
        <v>4.4664666439121863E-2</v>
      </c>
      <c r="F25" s="6">
        <v>4.5874721582290539</v>
      </c>
    </row>
    <row r="26" spans="1:6" x14ac:dyDescent="0.25">
      <c r="A26" s="5" t="s">
        <v>65</v>
      </c>
      <c r="B26" s="6">
        <v>307.44354604317147</v>
      </c>
      <c r="C26" s="6">
        <v>7.6346000000000016</v>
      </c>
      <c r="D26" s="6">
        <v>27415</v>
      </c>
      <c r="E26" s="6">
        <v>1.1214391592017276E-2</v>
      </c>
      <c r="F26" s="6">
        <v>1.1130261226293965</v>
      </c>
    </row>
    <row r="27" spans="1:6" x14ac:dyDescent="0.25">
      <c r="A27" s="8" t="s">
        <v>28</v>
      </c>
      <c r="B27" s="6">
        <v>307.44354604317147</v>
      </c>
      <c r="C27" s="6">
        <v>7.6346000000000016</v>
      </c>
      <c r="D27" s="6">
        <v>27415</v>
      </c>
      <c r="E27" s="6">
        <v>1.1214391592017276E-2</v>
      </c>
      <c r="F27" s="6">
        <v>1.1130261226293965</v>
      </c>
    </row>
    <row r="28" spans="1:6" x14ac:dyDescent="0.25">
      <c r="A28" s="5" t="s">
        <v>93</v>
      </c>
      <c r="B28" s="6">
        <v>1781.0152562270571</v>
      </c>
      <c r="C28" s="6">
        <v>7.7838999999999983</v>
      </c>
      <c r="D28" s="6">
        <v>27415</v>
      </c>
      <c r="E28" s="6">
        <v>6.4964780597093999E-2</v>
      </c>
      <c r="F28" s="6">
        <v>12.136304536553276</v>
      </c>
    </row>
    <row r="29" spans="1:6" x14ac:dyDescent="0.25">
      <c r="A29" s="8" t="s">
        <v>89</v>
      </c>
      <c r="B29" s="6">
        <v>1781.0152562270571</v>
      </c>
      <c r="C29" s="6">
        <v>7.7838999999999983</v>
      </c>
      <c r="D29" s="6">
        <v>27415</v>
      </c>
      <c r="E29" s="6">
        <v>6.4964780597093999E-2</v>
      </c>
      <c r="F29" s="6">
        <v>12.136304536553276</v>
      </c>
    </row>
    <row r="30" spans="1:6" x14ac:dyDescent="0.25">
      <c r="A30" s="5" t="s">
        <v>84</v>
      </c>
      <c r="B30" s="6">
        <v>1995.6366866868946</v>
      </c>
      <c r="C30" s="6">
        <v>8.1517000000000017</v>
      </c>
      <c r="D30" s="6">
        <v>27415</v>
      </c>
      <c r="E30" s="6">
        <v>7.2793368304306924E-2</v>
      </c>
      <c r="F30" s="6">
        <v>10.087624906905722</v>
      </c>
    </row>
    <row r="31" spans="1:6" x14ac:dyDescent="0.25">
      <c r="A31" s="8" t="s">
        <v>76</v>
      </c>
      <c r="B31" s="6">
        <v>1995.6366866868946</v>
      </c>
      <c r="C31" s="6">
        <v>8.1517000000000017</v>
      </c>
      <c r="D31" s="6">
        <v>27415</v>
      </c>
      <c r="E31" s="6">
        <v>7.2793368304306924E-2</v>
      </c>
      <c r="F31" s="6">
        <v>10.087624906905722</v>
      </c>
    </row>
    <row r="32" spans="1:6" x14ac:dyDescent="0.25">
      <c r="A32" s="5" t="s">
        <v>80</v>
      </c>
      <c r="B32" s="6">
        <v>1120.7893644718833</v>
      </c>
      <c r="C32" s="6">
        <v>8.0713000000000044</v>
      </c>
      <c r="D32" s="6">
        <v>27415</v>
      </c>
      <c r="E32" s="6">
        <v>4.0882207439771494E-2</v>
      </c>
      <c r="F32" s="6">
        <v>5.9395060963553012</v>
      </c>
    </row>
    <row r="33" spans="1:6" x14ac:dyDescent="0.25">
      <c r="A33" s="8" t="s">
        <v>76</v>
      </c>
      <c r="B33" s="6">
        <v>1120.7893644718833</v>
      </c>
      <c r="C33" s="6">
        <v>8.0713000000000044</v>
      </c>
      <c r="D33" s="6">
        <v>27415</v>
      </c>
      <c r="E33" s="6">
        <v>4.0882207439771494E-2</v>
      </c>
      <c r="F33" s="6">
        <v>5.9395060963553012</v>
      </c>
    </row>
    <row r="34" spans="1:6" x14ac:dyDescent="0.25">
      <c r="A34" s="5" t="s">
        <v>75</v>
      </c>
      <c r="B34" s="6">
        <v>739.90757057112341</v>
      </c>
      <c r="C34" s="6">
        <v>8.0670000000000055</v>
      </c>
      <c r="D34" s="6">
        <v>27415</v>
      </c>
      <c r="E34" s="6">
        <v>2.6989063016849207E-2</v>
      </c>
      <c r="F34" s="6">
        <v>5.0075777412092215</v>
      </c>
    </row>
    <row r="35" spans="1:6" x14ac:dyDescent="0.25">
      <c r="A35" s="8" t="s">
        <v>76</v>
      </c>
      <c r="B35" s="6">
        <v>739.90757057112341</v>
      </c>
      <c r="C35" s="6">
        <v>8.0670000000000055</v>
      </c>
      <c r="D35" s="6">
        <v>27415</v>
      </c>
      <c r="E35" s="6">
        <v>2.6989063016849207E-2</v>
      </c>
      <c r="F35" s="6">
        <v>5.0075777412092215</v>
      </c>
    </row>
    <row r="36" spans="1:6" x14ac:dyDescent="0.25">
      <c r="A36" s="5" t="s">
        <v>22</v>
      </c>
      <c r="B36" s="6">
        <v>636.30720606571435</v>
      </c>
      <c r="C36" s="6">
        <v>8.4296000000000006</v>
      </c>
      <c r="D36" s="6">
        <v>27415</v>
      </c>
      <c r="E36" s="6">
        <v>2.3210108891475435E-2</v>
      </c>
      <c r="F36" s="6">
        <v>1.3695635373810695</v>
      </c>
    </row>
    <row r="37" spans="1:6" x14ac:dyDescent="0.25">
      <c r="A37" s="8" t="s">
        <v>23</v>
      </c>
      <c r="B37" s="6">
        <v>636.30720606571435</v>
      </c>
      <c r="C37" s="6">
        <v>8.4296000000000006</v>
      </c>
      <c r="D37" s="6">
        <v>27415</v>
      </c>
      <c r="E37" s="6">
        <v>2.3210108891475435E-2</v>
      </c>
      <c r="F37" s="6">
        <v>1.3695635373810695</v>
      </c>
    </row>
    <row r="38" spans="1:6" x14ac:dyDescent="0.25">
      <c r="A38" s="5" t="s">
        <v>110</v>
      </c>
      <c r="B38" s="6">
        <v>3470.4497043490292</v>
      </c>
      <c r="C38" s="6">
        <v>7.2464999999999984</v>
      </c>
      <c r="D38" s="6">
        <v>27415</v>
      </c>
      <c r="E38" s="6">
        <v>0.12658903556721779</v>
      </c>
      <c r="F38" s="6">
        <v>26.602495940897462</v>
      </c>
    </row>
    <row r="39" spans="1:6" x14ac:dyDescent="0.25">
      <c r="A39" s="8" t="s">
        <v>106</v>
      </c>
      <c r="B39" s="6">
        <v>3470.4497043490292</v>
      </c>
      <c r="C39" s="6">
        <v>7.2464999999999984</v>
      </c>
      <c r="D39" s="6">
        <v>27415</v>
      </c>
      <c r="E39" s="6">
        <v>0.12658903556721779</v>
      </c>
      <c r="F39" s="6">
        <v>26.602495940897462</v>
      </c>
    </row>
    <row r="40" spans="1:6" x14ac:dyDescent="0.25">
      <c r="A40" s="5" t="s">
        <v>50</v>
      </c>
      <c r="B40" s="6">
        <v>100.79332225454286</v>
      </c>
      <c r="C40" s="6">
        <v>12.620100000000004</v>
      </c>
      <c r="D40" s="6">
        <v>27415</v>
      </c>
      <c r="E40" s="6">
        <v>3.6765637144456774E-3</v>
      </c>
      <c r="F40" s="6">
        <v>0.6031818225247868</v>
      </c>
    </row>
    <row r="41" spans="1:6" x14ac:dyDescent="0.25">
      <c r="A41" s="8" t="s">
        <v>28</v>
      </c>
      <c r="B41" s="6">
        <v>100.79332225454286</v>
      </c>
      <c r="C41" s="6">
        <v>12.620100000000004</v>
      </c>
      <c r="D41" s="6">
        <v>27415</v>
      </c>
      <c r="E41" s="6">
        <v>3.6765637144456774E-3</v>
      </c>
      <c r="F41" s="6">
        <v>0.6031818225247868</v>
      </c>
    </row>
    <row r="42" spans="1:6" x14ac:dyDescent="0.25">
      <c r="A42" s="5" t="s">
        <v>43</v>
      </c>
      <c r="B42" s="6">
        <v>740.4938302894999</v>
      </c>
      <c r="C42" s="6">
        <v>8.4629999999999974</v>
      </c>
      <c r="D42" s="6">
        <v>27415</v>
      </c>
      <c r="E42" s="6">
        <v>2.7010447580425558E-2</v>
      </c>
      <c r="F42" s="6">
        <v>4.1146095217165453</v>
      </c>
    </row>
    <row r="43" spans="1:6" x14ac:dyDescent="0.25">
      <c r="A43" s="8" t="s">
        <v>28</v>
      </c>
      <c r="B43" s="6">
        <v>740.4938302894999</v>
      </c>
      <c r="C43" s="6">
        <v>8.4629999999999974</v>
      </c>
      <c r="D43" s="6">
        <v>27415</v>
      </c>
      <c r="E43" s="6">
        <v>2.7010447580425558E-2</v>
      </c>
      <c r="F43" s="6">
        <v>4.1146095217165453</v>
      </c>
    </row>
    <row r="44" spans="1:6" x14ac:dyDescent="0.25">
      <c r="A44" s="5" t="s">
        <v>97</v>
      </c>
      <c r="B44" s="6">
        <v>1004.6473250347442</v>
      </c>
      <c r="C44" s="6">
        <v>9.2636999999999947</v>
      </c>
      <c r="D44" s="6">
        <v>27415</v>
      </c>
      <c r="E44" s="6">
        <v>3.6645779883212215E-2</v>
      </c>
      <c r="F44" s="6">
        <v>11.881642888643947</v>
      </c>
    </row>
    <row r="45" spans="1:6" x14ac:dyDescent="0.25">
      <c r="A45" s="8" t="s">
        <v>89</v>
      </c>
      <c r="B45" s="6">
        <v>1004.6473250347442</v>
      </c>
      <c r="C45" s="6">
        <v>9.2636999999999947</v>
      </c>
      <c r="D45" s="6">
        <v>27415</v>
      </c>
      <c r="E45" s="6">
        <v>3.6645779883212215E-2</v>
      </c>
      <c r="F45" s="6">
        <v>11.881642888643947</v>
      </c>
    </row>
    <row r="46" spans="1:6" x14ac:dyDescent="0.25">
      <c r="A46" s="5" t="s">
        <v>57</v>
      </c>
      <c r="B46" s="6">
        <v>685.12221409880976</v>
      </c>
      <c r="C46" s="6">
        <v>9.3110999999999979</v>
      </c>
      <c r="D46" s="6">
        <v>27415</v>
      </c>
      <c r="E46" s="6">
        <v>2.4990697954723261E-2</v>
      </c>
      <c r="F46" s="6">
        <v>3.0249815404409079</v>
      </c>
    </row>
    <row r="47" spans="1:6" x14ac:dyDescent="0.25">
      <c r="A47" s="8" t="s">
        <v>28</v>
      </c>
      <c r="B47" s="6">
        <v>685.12221409880976</v>
      </c>
      <c r="C47" s="6">
        <v>9.3110999999999979</v>
      </c>
      <c r="D47" s="6">
        <v>27415</v>
      </c>
      <c r="E47" s="6">
        <v>2.4990697954723261E-2</v>
      </c>
      <c r="F47" s="6">
        <v>3.0249815404409079</v>
      </c>
    </row>
    <row r="48" spans="1:6" x14ac:dyDescent="0.25">
      <c r="A48" s="5" t="s">
        <v>105</v>
      </c>
      <c r="B48" s="6">
        <v>2105.3597017178581</v>
      </c>
      <c r="C48" s="6">
        <v>6.9796000000000031</v>
      </c>
      <c r="D48" s="6">
        <v>27415</v>
      </c>
      <c r="E48" s="6">
        <v>7.6795653839490149E-2</v>
      </c>
      <c r="F48" s="6">
        <v>15.544085420605064</v>
      </c>
    </row>
    <row r="49" spans="1:6" x14ac:dyDescent="0.25">
      <c r="A49" s="8" t="s">
        <v>106</v>
      </c>
      <c r="B49" s="6">
        <v>2105.3597017178581</v>
      </c>
      <c r="C49" s="6">
        <v>6.9796000000000031</v>
      </c>
      <c r="D49" s="6">
        <v>27415</v>
      </c>
      <c r="E49" s="6">
        <v>7.6795653839490149E-2</v>
      </c>
      <c r="F49" s="6">
        <v>15.544085420605064</v>
      </c>
    </row>
    <row r="50" spans="1:6" x14ac:dyDescent="0.25">
      <c r="A50" s="5" t="s">
        <v>39</v>
      </c>
      <c r="B50" s="6">
        <v>327.22197787816822</v>
      </c>
      <c r="C50" s="6">
        <v>9.9582999999999977</v>
      </c>
      <c r="D50" s="6">
        <v>27415</v>
      </c>
      <c r="E50" s="6">
        <v>1.1935834870070439E-2</v>
      </c>
      <c r="F50" s="6">
        <v>1.5451881170260915</v>
      </c>
    </row>
    <row r="51" spans="1:6" x14ac:dyDescent="0.25">
      <c r="A51" s="8" t="s">
        <v>28</v>
      </c>
      <c r="B51" s="6">
        <v>327.22197787816822</v>
      </c>
      <c r="C51" s="6">
        <v>9.9582999999999977</v>
      </c>
      <c r="D51" s="6">
        <v>27415</v>
      </c>
      <c r="E51" s="6">
        <v>1.1935834870070439E-2</v>
      </c>
      <c r="F51" s="6">
        <v>1.5451881170260915</v>
      </c>
    </row>
    <row r="52" spans="1:6" x14ac:dyDescent="0.25">
      <c r="A52" s="5" t="s">
        <v>115</v>
      </c>
      <c r="B52" s="6">
        <v>27415.089223569244</v>
      </c>
      <c r="C52" s="6">
        <v>8.2465776765375978</v>
      </c>
      <c r="D52" s="6">
        <v>27415</v>
      </c>
      <c r="E52" s="6">
        <v>1.0000000001301927</v>
      </c>
      <c r="F52" s="6">
        <v>3620.2476004713358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C6147-F57A-4843-81FC-A57CD4653EDF}">
  <sheetPr filterMode="1"/>
  <dimension ref="A1:H51"/>
  <sheetViews>
    <sheetView workbookViewId="0">
      <selection activeCell="F25" sqref="A1:F25"/>
    </sheetView>
  </sheetViews>
  <sheetFormatPr defaultRowHeight="15" x14ac:dyDescent="0.25"/>
  <sheetData>
    <row r="1" spans="1:8" x14ac:dyDescent="0.25">
      <c r="A1" t="s">
        <v>114</v>
      </c>
      <c r="B1" t="s">
        <v>116</v>
      </c>
      <c r="C1" t="s">
        <v>121</v>
      </c>
      <c r="D1" t="s">
        <v>122</v>
      </c>
      <c r="E1" t="s">
        <v>123</v>
      </c>
    </row>
    <row r="2" spans="1:8" x14ac:dyDescent="0.25">
      <c r="A2" t="s">
        <v>69</v>
      </c>
      <c r="B2">
        <v>1613.5131048080691</v>
      </c>
      <c r="C2">
        <f>B2/$B$26</f>
        <v>5.8854928089050421E-2</v>
      </c>
      <c r="D2" s="6">
        <v>8.2459000000000024</v>
      </c>
      <c r="E2">
        <f>D2*C2</f>
        <v>0.48531185152950101</v>
      </c>
      <c r="F2" t="s">
        <v>28</v>
      </c>
      <c r="G2">
        <f>SUM(E2:E25)</f>
        <v>7.993421525761466</v>
      </c>
      <c r="H2" s="7"/>
    </row>
    <row r="3" spans="1:8" hidden="1" x14ac:dyDescent="0.25">
      <c r="A3" t="s">
        <v>88</v>
      </c>
      <c r="B3">
        <v>476.7194778393</v>
      </c>
      <c r="C3">
        <f t="shared" ref="C3:C26" si="0">B3/$B$26</f>
        <v>1.7388944969380427E-2</v>
      </c>
      <c r="D3" s="6">
        <v>7.9572999999999992</v>
      </c>
      <c r="E3">
        <f t="shared" ref="E3:E25" si="1">D3*C3</f>
        <v>0.13836905180485085</v>
      </c>
      <c r="F3" t="s">
        <v>89</v>
      </c>
      <c r="H3" s="10"/>
    </row>
    <row r="4" spans="1:8" hidden="1" x14ac:dyDescent="0.25">
      <c r="A4" t="s">
        <v>15</v>
      </c>
      <c r="B4">
        <v>942.86026566008877</v>
      </c>
      <c r="C4">
        <f t="shared" si="0"/>
        <v>3.4392018861258887E-2</v>
      </c>
      <c r="D4" s="6">
        <v>8.6034000000000006</v>
      </c>
      <c r="E4">
        <f t="shared" si="1"/>
        <v>0.29588829507095471</v>
      </c>
      <c r="F4" t="s">
        <v>17</v>
      </c>
      <c r="H4" s="6"/>
    </row>
    <row r="5" spans="1:8" hidden="1" x14ac:dyDescent="0.25">
      <c r="A5" t="s">
        <v>36</v>
      </c>
      <c r="B5">
        <v>902.96592468164897</v>
      </c>
      <c r="C5">
        <f t="shared" si="0"/>
        <v>3.2936822394338698E-2</v>
      </c>
      <c r="D5" s="6">
        <v>8.0528999999999975</v>
      </c>
      <c r="E5">
        <f t="shared" si="1"/>
        <v>0.26523693705937001</v>
      </c>
      <c r="F5" t="s">
        <v>17</v>
      </c>
      <c r="H5" s="10"/>
    </row>
    <row r="6" spans="1:8" x14ac:dyDescent="0.25">
      <c r="A6" t="s">
        <v>27</v>
      </c>
      <c r="B6">
        <v>169.66176921139999</v>
      </c>
      <c r="C6">
        <f t="shared" si="0"/>
        <v>6.1886272857918957E-3</v>
      </c>
      <c r="D6" s="6">
        <v>8.0357999999999983</v>
      </c>
      <c r="E6">
        <f t="shared" si="1"/>
        <v>4.9730571143166508E-2</v>
      </c>
      <c r="F6" t="s">
        <v>28</v>
      </c>
      <c r="H6" s="6"/>
    </row>
    <row r="7" spans="1:8" x14ac:dyDescent="0.25">
      <c r="A7" t="s">
        <v>101</v>
      </c>
      <c r="B7">
        <v>1780.4936703550209</v>
      </c>
      <c r="C7">
        <f t="shared" si="0"/>
        <v>6.4945755085279763E-2</v>
      </c>
      <c r="D7" s="6">
        <v>7.799100000000001</v>
      </c>
      <c r="E7">
        <f t="shared" si="1"/>
        <v>0.50651843848560552</v>
      </c>
      <c r="F7" t="s">
        <v>28</v>
      </c>
      <c r="H7" s="10"/>
    </row>
    <row r="8" spans="1:8" x14ac:dyDescent="0.25">
      <c r="A8" t="s">
        <v>47</v>
      </c>
      <c r="B8">
        <v>1775.6090306390743</v>
      </c>
      <c r="C8">
        <f t="shared" si="0"/>
        <v>6.4767581683175826E-2</v>
      </c>
      <c r="D8" s="6">
        <v>7.4328000000000003</v>
      </c>
      <c r="E8">
        <f t="shared" si="1"/>
        <v>0.48140448113470929</v>
      </c>
      <c r="F8" t="s">
        <v>28</v>
      </c>
      <c r="H8" s="6"/>
    </row>
    <row r="9" spans="1:8" x14ac:dyDescent="0.25">
      <c r="A9" t="s">
        <v>32</v>
      </c>
      <c r="B9">
        <v>1712.1912780206803</v>
      </c>
      <c r="C9">
        <f t="shared" si="0"/>
        <v>6.2454339070641386E-2</v>
      </c>
      <c r="D9" s="6">
        <v>7.8830999999999998</v>
      </c>
      <c r="E9">
        <f t="shared" si="1"/>
        <v>0.49233380032777307</v>
      </c>
      <c r="F9" t="s">
        <v>28</v>
      </c>
      <c r="H9" s="10"/>
    </row>
    <row r="10" spans="1:8" x14ac:dyDescent="0.25">
      <c r="A10" t="s">
        <v>72</v>
      </c>
      <c r="B10">
        <v>1148.1663657315892</v>
      </c>
      <c r="C10">
        <f t="shared" si="0"/>
        <v>4.1880818127868424E-2</v>
      </c>
      <c r="D10" s="6">
        <v>7.5803999999999983</v>
      </c>
      <c r="E10">
        <f t="shared" si="1"/>
        <v>0.31747335373649371</v>
      </c>
      <c r="F10" t="s">
        <v>28</v>
      </c>
      <c r="H10" s="6"/>
    </row>
    <row r="11" spans="1:8" x14ac:dyDescent="0.25">
      <c r="A11" t="s">
        <v>54</v>
      </c>
      <c r="B11">
        <v>653.23481552380952</v>
      </c>
      <c r="C11">
        <f t="shared" si="0"/>
        <v>2.3827564820114167E-2</v>
      </c>
      <c r="D11" s="6">
        <v>8.2566000000000024</v>
      </c>
      <c r="E11">
        <f t="shared" si="1"/>
        <v>0.19673467169375469</v>
      </c>
      <c r="F11" t="s">
        <v>28</v>
      </c>
      <c r="H11" s="10"/>
    </row>
    <row r="12" spans="1:8" x14ac:dyDescent="0.25">
      <c r="A12" t="s">
        <v>61</v>
      </c>
      <c r="B12">
        <v>1224.4858154100657</v>
      </c>
      <c r="C12">
        <f t="shared" si="0"/>
        <v>4.4664666433306854E-2</v>
      </c>
      <c r="D12" s="6">
        <v>9.3371999999999975</v>
      </c>
      <c r="E12">
        <f t="shared" si="1"/>
        <v>0.41704292342107263</v>
      </c>
      <c r="F12" t="s">
        <v>28</v>
      </c>
      <c r="H12" s="6"/>
    </row>
    <row r="13" spans="1:8" x14ac:dyDescent="0.25">
      <c r="A13" t="s">
        <v>65</v>
      </c>
      <c r="B13">
        <v>307.44354604317147</v>
      </c>
      <c r="C13">
        <f t="shared" si="0"/>
        <v>1.1214391590557244E-2</v>
      </c>
      <c r="D13" s="6">
        <v>7.6346000000000016</v>
      </c>
      <c r="E13">
        <f t="shared" si="1"/>
        <v>8.5617394037268355E-2</v>
      </c>
      <c r="F13" t="s">
        <v>28</v>
      </c>
      <c r="H13" s="10"/>
    </row>
    <row r="14" spans="1:8" hidden="1" x14ac:dyDescent="0.25">
      <c r="A14" t="s">
        <v>93</v>
      </c>
      <c r="B14">
        <v>1781.0152562270571</v>
      </c>
      <c r="C14">
        <f t="shared" si="0"/>
        <v>6.496478058863607E-2</v>
      </c>
      <c r="D14" s="6">
        <v>7.7838999999999983</v>
      </c>
      <c r="E14">
        <f t="shared" si="1"/>
        <v>0.50567935562388422</v>
      </c>
      <c r="F14" t="s">
        <v>89</v>
      </c>
      <c r="H14" s="6"/>
    </row>
    <row r="15" spans="1:8" hidden="1" x14ac:dyDescent="0.25">
      <c r="A15" t="s">
        <v>84</v>
      </c>
      <c r="B15">
        <v>1995.6366866868946</v>
      </c>
      <c r="C15">
        <f t="shared" si="0"/>
        <v>7.2793368294829769E-2</v>
      </c>
      <c r="D15" s="6">
        <v>8.1517000000000017</v>
      </c>
      <c r="E15">
        <f t="shared" si="1"/>
        <v>0.59338970032896399</v>
      </c>
      <c r="F15" t="s">
        <v>76</v>
      </c>
      <c r="H15" s="10"/>
    </row>
    <row r="16" spans="1:8" hidden="1" x14ac:dyDescent="0.25">
      <c r="A16" t="s">
        <v>80</v>
      </c>
      <c r="B16">
        <v>1120.7893644718833</v>
      </c>
      <c r="C16">
        <f t="shared" si="0"/>
        <v>4.0882207434448932E-2</v>
      </c>
      <c r="D16" s="6">
        <v>8.0713000000000044</v>
      </c>
      <c r="E16">
        <f t="shared" si="1"/>
        <v>0.32997256086566784</v>
      </c>
      <c r="F16" t="s">
        <v>76</v>
      </c>
      <c r="H16" s="6"/>
    </row>
    <row r="17" spans="1:8" hidden="1" x14ac:dyDescent="0.25">
      <c r="A17" t="s">
        <v>75</v>
      </c>
      <c r="B17">
        <v>739.90757057112341</v>
      </c>
      <c r="C17">
        <f t="shared" si="0"/>
        <v>2.6989063013335431E-2</v>
      </c>
      <c r="D17" s="6">
        <v>8.0670000000000055</v>
      </c>
      <c r="E17">
        <f t="shared" si="1"/>
        <v>0.21772077132857706</v>
      </c>
      <c r="F17" t="s">
        <v>76</v>
      </c>
      <c r="H17" s="10"/>
    </row>
    <row r="18" spans="1:8" hidden="1" x14ac:dyDescent="0.25">
      <c r="A18" t="s">
        <v>22</v>
      </c>
      <c r="B18">
        <v>636.30720606571435</v>
      </c>
      <c r="C18">
        <f t="shared" si="0"/>
        <v>2.3210108888453648E-2</v>
      </c>
      <c r="D18" s="6">
        <v>8.4296000000000006</v>
      </c>
      <c r="E18">
        <f t="shared" si="1"/>
        <v>0.19565193388610888</v>
      </c>
      <c r="F18" t="s">
        <v>23</v>
      </c>
      <c r="H18" s="6"/>
    </row>
    <row r="19" spans="1:8" hidden="1" x14ac:dyDescent="0.25">
      <c r="A19" t="s">
        <v>110</v>
      </c>
      <c r="B19">
        <v>3470.4497043490292</v>
      </c>
      <c r="C19">
        <f t="shared" si="0"/>
        <v>0.12658903555073683</v>
      </c>
      <c r="D19" s="6">
        <v>7.2464999999999984</v>
      </c>
      <c r="E19">
        <f t="shared" si="1"/>
        <v>0.91732744611841421</v>
      </c>
      <c r="F19" t="s">
        <v>106</v>
      </c>
      <c r="H19" s="10"/>
    </row>
    <row r="20" spans="1:8" x14ac:dyDescent="0.25">
      <c r="A20" t="s">
        <v>50</v>
      </c>
      <c r="B20">
        <v>100.79332225454286</v>
      </c>
      <c r="C20">
        <f t="shared" si="0"/>
        <v>3.676563713967016E-3</v>
      </c>
      <c r="D20" s="6">
        <v>12.620100000000004</v>
      </c>
      <c r="E20">
        <f t="shared" si="1"/>
        <v>4.6398601726635152E-2</v>
      </c>
      <c r="F20" t="s">
        <v>28</v>
      </c>
      <c r="H20" s="6"/>
    </row>
    <row r="21" spans="1:8" x14ac:dyDescent="0.25">
      <c r="A21" t="s">
        <v>43</v>
      </c>
      <c r="B21">
        <v>740.4938302894999</v>
      </c>
      <c r="C21">
        <f t="shared" si="0"/>
        <v>2.7010447576909E-2</v>
      </c>
      <c r="D21" s="6">
        <v>8.4629999999999974</v>
      </c>
      <c r="E21">
        <f t="shared" si="1"/>
        <v>0.2285894178433808</v>
      </c>
      <c r="F21" t="s">
        <v>28</v>
      </c>
      <c r="H21" s="10"/>
    </row>
    <row r="22" spans="1:8" hidden="1" x14ac:dyDescent="0.25">
      <c r="A22" t="s">
        <v>97</v>
      </c>
      <c r="B22">
        <v>1004.6473250347442</v>
      </c>
      <c r="C22">
        <f t="shared" si="0"/>
        <v>3.6645779878441205E-2</v>
      </c>
      <c r="D22" s="6">
        <v>9.2636999999999947</v>
      </c>
      <c r="E22">
        <f t="shared" si="1"/>
        <v>0.33947551105991558</v>
      </c>
      <c r="F22" t="s">
        <v>89</v>
      </c>
      <c r="H22" s="6"/>
    </row>
    <row r="23" spans="1:8" x14ac:dyDescent="0.25">
      <c r="A23" t="s">
        <v>57</v>
      </c>
      <c r="B23">
        <v>685.12221409880976</v>
      </c>
      <c r="C23">
        <f t="shared" si="0"/>
        <v>2.4990697951469656E-2</v>
      </c>
      <c r="D23" s="6">
        <v>9.3110999999999979</v>
      </c>
      <c r="E23">
        <f t="shared" si="1"/>
        <v>0.23269088769592905</v>
      </c>
      <c r="F23" t="s">
        <v>28</v>
      </c>
      <c r="H23" s="10"/>
    </row>
    <row r="24" spans="1:8" hidden="1" x14ac:dyDescent="0.25">
      <c r="A24" t="s">
        <v>105</v>
      </c>
      <c r="B24">
        <v>2105.3597017178581</v>
      </c>
      <c r="C24">
        <f t="shared" si="0"/>
        <v>7.6795653829491925E-2</v>
      </c>
      <c r="D24" s="6">
        <v>6.9796000000000031</v>
      </c>
      <c r="E24">
        <f t="shared" si="1"/>
        <v>0.53600294546832206</v>
      </c>
      <c r="F24" t="s">
        <v>106</v>
      </c>
      <c r="H24" s="6"/>
    </row>
    <row r="25" spans="1:8" x14ac:dyDescent="0.25">
      <c r="A25" t="s">
        <v>39</v>
      </c>
      <c r="B25">
        <v>327.22197787816822</v>
      </c>
      <c r="C25">
        <f t="shared" si="0"/>
        <v>1.1935834868516482E-2</v>
      </c>
      <c r="D25" s="6">
        <v>9.9582999999999977</v>
      </c>
      <c r="E25">
        <f t="shared" si="1"/>
        <v>0.11886062437114765</v>
      </c>
      <c r="F25" t="s">
        <v>28</v>
      </c>
      <c r="H25" s="10"/>
    </row>
    <row r="26" spans="1:8" hidden="1" x14ac:dyDescent="0.25">
      <c r="A26" t="s">
        <v>115</v>
      </c>
      <c r="B26">
        <v>27415.089223569244</v>
      </c>
      <c r="C26">
        <f>SUM(C2:C25)</f>
        <v>0.99999999999999989</v>
      </c>
      <c r="E26">
        <f>SUM(E2:E25)</f>
        <v>7.993421525761466</v>
      </c>
      <c r="H26" s="6"/>
    </row>
    <row r="27" spans="1:8" x14ac:dyDescent="0.25">
      <c r="H27" s="10"/>
    </row>
    <row r="28" spans="1:8" x14ac:dyDescent="0.25">
      <c r="H28" s="6"/>
    </row>
    <row r="29" spans="1:8" x14ac:dyDescent="0.25">
      <c r="H29" s="10"/>
    </row>
    <row r="30" spans="1:8" x14ac:dyDescent="0.25">
      <c r="H30" s="6"/>
    </row>
    <row r="31" spans="1:8" x14ac:dyDescent="0.25">
      <c r="H31" s="10"/>
    </row>
    <row r="32" spans="1:8" x14ac:dyDescent="0.25">
      <c r="H32" s="6"/>
    </row>
    <row r="33" spans="8:8" x14ac:dyDescent="0.25">
      <c r="H33" s="10"/>
    </row>
    <row r="34" spans="8:8" x14ac:dyDescent="0.25">
      <c r="H34" s="6"/>
    </row>
    <row r="35" spans="8:8" x14ac:dyDescent="0.25">
      <c r="H35" s="10"/>
    </row>
    <row r="36" spans="8:8" x14ac:dyDescent="0.25">
      <c r="H36" s="6"/>
    </row>
    <row r="37" spans="8:8" x14ac:dyDescent="0.25">
      <c r="H37" s="10"/>
    </row>
    <row r="38" spans="8:8" x14ac:dyDescent="0.25">
      <c r="H38" s="6"/>
    </row>
    <row r="39" spans="8:8" x14ac:dyDescent="0.25">
      <c r="H39" s="10"/>
    </row>
    <row r="40" spans="8:8" x14ac:dyDescent="0.25">
      <c r="H40" s="6"/>
    </row>
    <row r="41" spans="8:8" x14ac:dyDescent="0.25">
      <c r="H41" s="10"/>
    </row>
    <row r="42" spans="8:8" x14ac:dyDescent="0.25">
      <c r="H42" s="6"/>
    </row>
    <row r="43" spans="8:8" x14ac:dyDescent="0.25">
      <c r="H43" s="10"/>
    </row>
    <row r="44" spans="8:8" x14ac:dyDescent="0.25">
      <c r="H44" s="6"/>
    </row>
    <row r="45" spans="8:8" x14ac:dyDescent="0.25">
      <c r="H45" s="10"/>
    </row>
    <row r="46" spans="8:8" x14ac:dyDescent="0.25">
      <c r="H46" s="6"/>
    </row>
    <row r="47" spans="8:8" x14ac:dyDescent="0.25">
      <c r="H47" s="10"/>
    </row>
    <row r="48" spans="8:8" x14ac:dyDescent="0.25">
      <c r="H48" s="6"/>
    </row>
    <row r="49" spans="8:8" x14ac:dyDescent="0.25">
      <c r="H49" s="10"/>
    </row>
    <row r="50" spans="8:8" x14ac:dyDescent="0.25">
      <c r="H50" s="6"/>
    </row>
    <row r="51" spans="8:8" x14ac:dyDescent="0.25">
      <c r="H51" s="9"/>
    </row>
  </sheetData>
  <autoFilter ref="A1:F26" xr:uid="{494C6147-F57A-4843-81FC-A57CD4653EDF}">
    <filterColumn colId="5">
      <filters>
        <filter val="B30"/>
      </filters>
    </filterColumn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A075A-38AE-467D-ADD7-96BD5E465CCD}">
  <dimension ref="A1:F15"/>
  <sheetViews>
    <sheetView tabSelected="1" workbookViewId="0">
      <selection activeCell="F15" sqref="F15"/>
    </sheetView>
  </sheetViews>
  <sheetFormatPr defaultRowHeight="15" x14ac:dyDescent="0.25"/>
  <sheetData>
    <row r="1" spans="1:6" x14ac:dyDescent="0.25">
      <c r="A1" t="s">
        <v>114</v>
      </c>
      <c r="B1" t="s">
        <v>116</v>
      </c>
      <c r="C1" t="s">
        <v>121</v>
      </c>
      <c r="D1" t="s">
        <v>122</v>
      </c>
      <c r="E1" t="s">
        <v>123</v>
      </c>
    </row>
    <row r="2" spans="1:6" x14ac:dyDescent="0.25">
      <c r="A2" t="s">
        <v>69</v>
      </c>
      <c r="B2">
        <v>1613.5131048080691</v>
      </c>
      <c r="C2">
        <f>B2/$B$15</f>
        <v>0.13183986893839922</v>
      </c>
      <c r="D2" s="6">
        <v>8.2459000000000024</v>
      </c>
      <c r="E2">
        <f>D2*C2</f>
        <v>1.0871383752791464</v>
      </c>
      <c r="F2" t="s">
        <v>28</v>
      </c>
    </row>
    <row r="3" spans="1:6" x14ac:dyDescent="0.25">
      <c r="A3" t="s">
        <v>27</v>
      </c>
      <c r="B3">
        <v>169.66176921139999</v>
      </c>
      <c r="C3">
        <f t="shared" ref="C3:C14" si="0">B3/$B$15</f>
        <v>1.3863032999257018E-2</v>
      </c>
      <c r="D3" s="6">
        <v>8.0357999999999983</v>
      </c>
      <c r="E3">
        <f t="shared" ref="E3:E14" si="1">D3*C3</f>
        <v>0.11140056057542952</v>
      </c>
      <c r="F3" t="s">
        <v>28</v>
      </c>
    </row>
    <row r="4" spans="1:6" x14ac:dyDescent="0.25">
      <c r="A4" t="s">
        <v>101</v>
      </c>
      <c r="B4">
        <v>1780.4936703550209</v>
      </c>
      <c r="C4">
        <f t="shared" si="0"/>
        <v>0.14548382126290704</v>
      </c>
      <c r="D4" s="6">
        <v>7.799100000000001</v>
      </c>
      <c r="E4">
        <f t="shared" si="1"/>
        <v>1.1346428704115386</v>
      </c>
      <c r="F4" t="s">
        <v>28</v>
      </c>
    </row>
    <row r="5" spans="1:6" x14ac:dyDescent="0.25">
      <c r="A5" t="s">
        <v>47</v>
      </c>
      <c r="B5">
        <v>1775.6090306390743</v>
      </c>
      <c r="C5">
        <f t="shared" si="0"/>
        <v>0.14508469822012376</v>
      </c>
      <c r="D5" s="6">
        <v>7.4328000000000003</v>
      </c>
      <c r="E5">
        <f t="shared" si="1"/>
        <v>1.078385544930536</v>
      </c>
      <c r="F5" t="s">
        <v>28</v>
      </c>
    </row>
    <row r="6" spans="1:6" x14ac:dyDescent="0.25">
      <c r="A6" t="s">
        <v>32</v>
      </c>
      <c r="B6">
        <v>1712.1912780206803</v>
      </c>
      <c r="C6">
        <f t="shared" si="0"/>
        <v>0.13990284492828364</v>
      </c>
      <c r="D6" s="6">
        <v>7.8830999999999998</v>
      </c>
      <c r="E6">
        <f t="shared" si="1"/>
        <v>1.1028681168541528</v>
      </c>
      <c r="F6" t="s">
        <v>28</v>
      </c>
    </row>
    <row r="7" spans="1:6" x14ac:dyDescent="0.25">
      <c r="A7" t="s">
        <v>72</v>
      </c>
      <c r="B7">
        <v>1148.1663657315892</v>
      </c>
      <c r="C7">
        <f t="shared" si="0"/>
        <v>9.3816469619276588E-2</v>
      </c>
      <c r="D7" s="6">
        <v>7.5803999999999983</v>
      </c>
      <c r="E7">
        <f t="shared" si="1"/>
        <v>0.71116636630196406</v>
      </c>
      <c r="F7" t="s">
        <v>28</v>
      </c>
    </row>
    <row r="8" spans="1:6" x14ac:dyDescent="0.25">
      <c r="A8" t="s">
        <v>54</v>
      </c>
      <c r="B8">
        <v>653.23481552380952</v>
      </c>
      <c r="C8">
        <f t="shared" si="0"/>
        <v>5.3375700642296853E-2</v>
      </c>
      <c r="D8" s="6">
        <v>8.2566000000000024</v>
      </c>
      <c r="E8">
        <f t="shared" si="1"/>
        <v>0.4407018099231883</v>
      </c>
      <c r="F8" t="s">
        <v>28</v>
      </c>
    </row>
    <row r="9" spans="1:6" x14ac:dyDescent="0.25">
      <c r="A9" t="s">
        <v>61</v>
      </c>
      <c r="B9">
        <v>1224.4858154100657</v>
      </c>
      <c r="C9">
        <f t="shared" si="0"/>
        <v>0.10005251828419152</v>
      </c>
      <c r="D9" s="6">
        <v>9.3371999999999975</v>
      </c>
      <c r="E9">
        <f t="shared" si="1"/>
        <v>0.93421037372315285</v>
      </c>
      <c r="F9" t="s">
        <v>28</v>
      </c>
    </row>
    <row r="10" spans="1:6" x14ac:dyDescent="0.25">
      <c r="A10" t="s">
        <v>65</v>
      </c>
      <c r="B10">
        <v>307.44354604317147</v>
      </c>
      <c r="C10">
        <f t="shared" si="0"/>
        <v>2.5121157488900567E-2</v>
      </c>
      <c r="D10" s="6">
        <v>7.6346000000000016</v>
      </c>
      <c r="E10">
        <f t="shared" si="1"/>
        <v>0.19178998896476032</v>
      </c>
      <c r="F10" t="s">
        <v>28</v>
      </c>
    </row>
    <row r="11" spans="1:6" x14ac:dyDescent="0.25">
      <c r="A11" t="s">
        <v>50</v>
      </c>
      <c r="B11">
        <v>100.79332225454286</v>
      </c>
      <c r="C11">
        <f t="shared" si="0"/>
        <v>8.235804442062759E-3</v>
      </c>
      <c r="D11" s="6">
        <v>12.620100000000004</v>
      </c>
      <c r="E11">
        <f t="shared" si="1"/>
        <v>0.10393667563927626</v>
      </c>
      <c r="F11" t="s">
        <v>28</v>
      </c>
    </row>
    <row r="12" spans="1:6" x14ac:dyDescent="0.25">
      <c r="A12" t="s">
        <v>43</v>
      </c>
      <c r="B12">
        <v>740.4938302894999</v>
      </c>
      <c r="C12">
        <f t="shared" si="0"/>
        <v>6.0505619225617507E-2</v>
      </c>
      <c r="D12" s="6">
        <v>8.4629999999999974</v>
      </c>
      <c r="E12">
        <f t="shared" si="1"/>
        <v>0.51205905550640085</v>
      </c>
      <c r="F12" t="s">
        <v>28</v>
      </c>
    </row>
    <row r="13" spans="1:6" x14ac:dyDescent="0.25">
      <c r="A13" t="s">
        <v>57</v>
      </c>
      <c r="B13">
        <v>685.12221409880976</v>
      </c>
      <c r="C13">
        <f t="shared" si="0"/>
        <v>5.598121431081745E-2</v>
      </c>
      <c r="D13" s="6">
        <v>9.3110999999999979</v>
      </c>
      <c r="E13">
        <f t="shared" si="1"/>
        <v>0.52124668456945222</v>
      </c>
      <c r="F13" t="s">
        <v>28</v>
      </c>
    </row>
    <row r="14" spans="1:6" x14ac:dyDescent="0.25">
      <c r="A14" t="s">
        <v>39</v>
      </c>
      <c r="B14">
        <v>327.22197787816822</v>
      </c>
      <c r="C14">
        <f t="shared" si="0"/>
        <v>2.6737249637865924E-2</v>
      </c>
      <c r="D14" s="6">
        <v>9.9582999999999977</v>
      </c>
      <c r="E14">
        <f t="shared" si="1"/>
        <v>0.2662575530687602</v>
      </c>
      <c r="F14" t="s">
        <v>28</v>
      </c>
    </row>
    <row r="15" spans="1:6" x14ac:dyDescent="0.25">
      <c r="A15" t="s">
        <v>124</v>
      </c>
      <c r="B15">
        <f>SUM(B2:B14)</f>
        <v>12238.430740263902</v>
      </c>
      <c r="C15">
        <f>SUM(C2:C14)</f>
        <v>0.99999999999999978</v>
      </c>
      <c r="E15">
        <f>SUM(E2:E14)</f>
        <v>8.1958039757477597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83C4B-9D56-4B77-85B9-4019DA741601}">
  <dimension ref="A3:A52"/>
  <sheetViews>
    <sheetView topLeftCell="A41" workbookViewId="0">
      <selection activeCell="A52" sqref="A3:A52"/>
    </sheetView>
  </sheetViews>
  <sheetFormatPr defaultRowHeight="15" x14ac:dyDescent="0.25"/>
  <cols>
    <col min="1" max="1" width="18" bestFit="1" customWidth="1"/>
    <col min="2" max="2" width="14" bestFit="1" customWidth="1"/>
  </cols>
  <sheetData>
    <row r="3" spans="1:1" x14ac:dyDescent="0.25">
      <c r="A3" s="4" t="s">
        <v>114</v>
      </c>
    </row>
    <row r="4" spans="1:1" x14ac:dyDescent="0.25">
      <c r="A4" s="5" t="s">
        <v>69</v>
      </c>
    </row>
    <row r="5" spans="1:1" x14ac:dyDescent="0.25">
      <c r="A5" s="8" t="s">
        <v>28</v>
      </c>
    </row>
    <row r="6" spans="1:1" x14ac:dyDescent="0.25">
      <c r="A6" s="5" t="s">
        <v>88</v>
      </c>
    </row>
    <row r="7" spans="1:1" x14ac:dyDescent="0.25">
      <c r="A7" s="8" t="s">
        <v>89</v>
      </c>
    </row>
    <row r="8" spans="1:1" x14ac:dyDescent="0.25">
      <c r="A8" s="5" t="s">
        <v>15</v>
      </c>
    </row>
    <row r="9" spans="1:1" x14ac:dyDescent="0.25">
      <c r="A9" s="8" t="s">
        <v>17</v>
      </c>
    </row>
    <row r="10" spans="1:1" x14ac:dyDescent="0.25">
      <c r="A10" s="5" t="s">
        <v>36</v>
      </c>
    </row>
    <row r="11" spans="1:1" x14ac:dyDescent="0.25">
      <c r="A11" s="8" t="s">
        <v>28</v>
      </c>
    </row>
    <row r="12" spans="1:1" x14ac:dyDescent="0.25">
      <c r="A12" s="5" t="s">
        <v>27</v>
      </c>
    </row>
    <row r="13" spans="1:1" x14ac:dyDescent="0.25">
      <c r="A13" s="8" t="s">
        <v>28</v>
      </c>
    </row>
    <row r="14" spans="1:1" x14ac:dyDescent="0.25">
      <c r="A14" s="5" t="s">
        <v>101</v>
      </c>
    </row>
    <row r="15" spans="1:1" x14ac:dyDescent="0.25">
      <c r="A15" s="8" t="s">
        <v>89</v>
      </c>
    </row>
    <row r="16" spans="1:1" x14ac:dyDescent="0.25">
      <c r="A16" s="5" t="s">
        <v>47</v>
      </c>
    </row>
    <row r="17" spans="1:1" x14ac:dyDescent="0.25">
      <c r="A17" s="8" t="s">
        <v>28</v>
      </c>
    </row>
    <row r="18" spans="1:1" x14ac:dyDescent="0.25">
      <c r="A18" s="5" t="s">
        <v>32</v>
      </c>
    </row>
    <row r="19" spans="1:1" x14ac:dyDescent="0.25">
      <c r="A19" s="8" t="s">
        <v>28</v>
      </c>
    </row>
    <row r="20" spans="1:1" x14ac:dyDescent="0.25">
      <c r="A20" s="5" t="s">
        <v>72</v>
      </c>
    </row>
    <row r="21" spans="1:1" x14ac:dyDescent="0.25">
      <c r="A21" s="8" t="s">
        <v>28</v>
      </c>
    </row>
    <row r="22" spans="1:1" x14ac:dyDescent="0.25">
      <c r="A22" s="5" t="s">
        <v>54</v>
      </c>
    </row>
    <row r="23" spans="1:1" x14ac:dyDescent="0.25">
      <c r="A23" s="8" t="s">
        <v>28</v>
      </c>
    </row>
    <row r="24" spans="1:1" x14ac:dyDescent="0.25">
      <c r="A24" s="5" t="s">
        <v>61</v>
      </c>
    </row>
    <row r="25" spans="1:1" x14ac:dyDescent="0.25">
      <c r="A25" s="8" t="s">
        <v>28</v>
      </c>
    </row>
    <row r="26" spans="1:1" x14ac:dyDescent="0.25">
      <c r="A26" s="5" t="s">
        <v>65</v>
      </c>
    </row>
    <row r="27" spans="1:1" x14ac:dyDescent="0.25">
      <c r="A27" s="8" t="s">
        <v>28</v>
      </c>
    </row>
    <row r="28" spans="1:1" x14ac:dyDescent="0.25">
      <c r="A28" s="5" t="s">
        <v>93</v>
      </c>
    </row>
    <row r="29" spans="1:1" x14ac:dyDescent="0.25">
      <c r="A29" s="8" t="s">
        <v>89</v>
      </c>
    </row>
    <row r="30" spans="1:1" x14ac:dyDescent="0.25">
      <c r="A30" s="5" t="s">
        <v>84</v>
      </c>
    </row>
    <row r="31" spans="1:1" x14ac:dyDescent="0.25">
      <c r="A31" s="8" t="s">
        <v>76</v>
      </c>
    </row>
    <row r="32" spans="1:1" x14ac:dyDescent="0.25">
      <c r="A32" s="5" t="s">
        <v>80</v>
      </c>
    </row>
    <row r="33" spans="1:1" x14ac:dyDescent="0.25">
      <c r="A33" s="8" t="s">
        <v>76</v>
      </c>
    </row>
    <row r="34" spans="1:1" x14ac:dyDescent="0.25">
      <c r="A34" s="5" t="s">
        <v>75</v>
      </c>
    </row>
    <row r="35" spans="1:1" x14ac:dyDescent="0.25">
      <c r="A35" s="8" t="s">
        <v>76</v>
      </c>
    </row>
    <row r="36" spans="1:1" x14ac:dyDescent="0.25">
      <c r="A36" s="5" t="s">
        <v>22</v>
      </c>
    </row>
    <row r="37" spans="1:1" x14ac:dyDescent="0.25">
      <c r="A37" s="8" t="s">
        <v>23</v>
      </c>
    </row>
    <row r="38" spans="1:1" x14ac:dyDescent="0.25">
      <c r="A38" s="5" t="s">
        <v>110</v>
      </c>
    </row>
    <row r="39" spans="1:1" x14ac:dyDescent="0.25">
      <c r="A39" s="8" t="s">
        <v>106</v>
      </c>
    </row>
    <row r="40" spans="1:1" x14ac:dyDescent="0.25">
      <c r="A40" s="5" t="s">
        <v>50</v>
      </c>
    </row>
    <row r="41" spans="1:1" x14ac:dyDescent="0.25">
      <c r="A41" s="8" t="s">
        <v>28</v>
      </c>
    </row>
    <row r="42" spans="1:1" x14ac:dyDescent="0.25">
      <c r="A42" s="5" t="s">
        <v>43</v>
      </c>
    </row>
    <row r="43" spans="1:1" x14ac:dyDescent="0.25">
      <c r="A43" s="8" t="s">
        <v>28</v>
      </c>
    </row>
    <row r="44" spans="1:1" x14ac:dyDescent="0.25">
      <c r="A44" s="5" t="s">
        <v>97</v>
      </c>
    </row>
    <row r="45" spans="1:1" x14ac:dyDescent="0.25">
      <c r="A45" s="8" t="s">
        <v>89</v>
      </c>
    </row>
    <row r="46" spans="1:1" x14ac:dyDescent="0.25">
      <c r="A46" s="5" t="s">
        <v>57</v>
      </c>
    </row>
    <row r="47" spans="1:1" x14ac:dyDescent="0.25">
      <c r="A47" s="8" t="s">
        <v>28</v>
      </c>
    </row>
    <row r="48" spans="1:1" x14ac:dyDescent="0.25">
      <c r="A48" s="5" t="s">
        <v>105</v>
      </c>
    </row>
    <row r="49" spans="1:1" x14ac:dyDescent="0.25">
      <c r="A49" s="8" t="s">
        <v>106</v>
      </c>
    </row>
    <row r="50" spans="1:1" x14ac:dyDescent="0.25">
      <c r="A50" s="5" t="s">
        <v>39</v>
      </c>
    </row>
    <row r="51" spans="1:1" x14ac:dyDescent="0.25">
      <c r="A51" s="8" t="s">
        <v>28</v>
      </c>
    </row>
    <row r="52" spans="1:1" x14ac:dyDescent="0.25">
      <c r="A52" s="5" t="s">
        <v>115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2EB0F-3755-4840-AB04-FAF534872D8E}">
  <dimension ref="A3:B28"/>
  <sheetViews>
    <sheetView topLeftCell="A7" workbookViewId="0">
      <selection activeCell="B4" sqref="B4:B27"/>
    </sheetView>
  </sheetViews>
  <sheetFormatPr defaultRowHeight="15" x14ac:dyDescent="0.25"/>
  <cols>
    <col min="1" max="1" width="18" bestFit="1" customWidth="1"/>
    <col min="2" max="2" width="19.5703125" bestFit="1" customWidth="1"/>
  </cols>
  <sheetData>
    <row r="3" spans="1:2" x14ac:dyDescent="0.25">
      <c r="A3" s="4" t="s">
        <v>114</v>
      </c>
      <c r="B3" t="s">
        <v>117</v>
      </c>
    </row>
    <row r="4" spans="1:2" x14ac:dyDescent="0.25">
      <c r="A4" s="5" t="s">
        <v>69</v>
      </c>
      <c r="B4" s="6">
        <v>8.2459000000000024</v>
      </c>
    </row>
    <row r="5" spans="1:2" x14ac:dyDescent="0.25">
      <c r="A5" s="5" t="s">
        <v>88</v>
      </c>
      <c r="B5" s="6">
        <v>7.9572999999999992</v>
      </c>
    </row>
    <row r="6" spans="1:2" x14ac:dyDescent="0.25">
      <c r="A6" s="5" t="s">
        <v>15</v>
      </c>
      <c r="B6" s="6">
        <v>8.6034000000000006</v>
      </c>
    </row>
    <row r="7" spans="1:2" x14ac:dyDescent="0.25">
      <c r="A7" s="5" t="s">
        <v>36</v>
      </c>
      <c r="B7" s="6">
        <v>8.0528999999999975</v>
      </c>
    </row>
    <row r="8" spans="1:2" x14ac:dyDescent="0.25">
      <c r="A8" s="5" t="s">
        <v>27</v>
      </c>
      <c r="B8" s="6">
        <v>8.0357999999999983</v>
      </c>
    </row>
    <row r="9" spans="1:2" x14ac:dyDescent="0.25">
      <c r="A9" s="5" t="s">
        <v>101</v>
      </c>
      <c r="B9" s="6">
        <v>7.799100000000001</v>
      </c>
    </row>
    <row r="10" spans="1:2" x14ac:dyDescent="0.25">
      <c r="A10" s="5" t="s">
        <v>47</v>
      </c>
      <c r="B10" s="6">
        <v>7.4328000000000003</v>
      </c>
    </row>
    <row r="11" spans="1:2" x14ac:dyDescent="0.25">
      <c r="A11" s="5" t="s">
        <v>32</v>
      </c>
      <c r="B11" s="6">
        <v>7.8830999999999998</v>
      </c>
    </row>
    <row r="12" spans="1:2" x14ac:dyDescent="0.25">
      <c r="A12" s="5" t="s">
        <v>72</v>
      </c>
      <c r="B12" s="6">
        <v>7.5803999999999983</v>
      </c>
    </row>
    <row r="13" spans="1:2" x14ac:dyDescent="0.25">
      <c r="A13" s="5" t="s">
        <v>54</v>
      </c>
      <c r="B13" s="6">
        <v>8.2566000000000024</v>
      </c>
    </row>
    <row r="14" spans="1:2" x14ac:dyDescent="0.25">
      <c r="A14" s="5" t="s">
        <v>61</v>
      </c>
      <c r="B14" s="6">
        <v>9.3371999999999975</v>
      </c>
    </row>
    <row r="15" spans="1:2" x14ac:dyDescent="0.25">
      <c r="A15" s="5" t="s">
        <v>65</v>
      </c>
      <c r="B15" s="6">
        <v>7.6346000000000016</v>
      </c>
    </row>
    <row r="16" spans="1:2" x14ac:dyDescent="0.25">
      <c r="A16" s="5" t="s">
        <v>93</v>
      </c>
      <c r="B16" s="6">
        <v>7.7838999999999983</v>
      </c>
    </row>
    <row r="17" spans="1:2" x14ac:dyDescent="0.25">
      <c r="A17" s="5" t="s">
        <v>84</v>
      </c>
      <c r="B17" s="6">
        <v>8.1517000000000017</v>
      </c>
    </row>
    <row r="18" spans="1:2" x14ac:dyDescent="0.25">
      <c r="A18" s="5" t="s">
        <v>80</v>
      </c>
      <c r="B18" s="6">
        <v>8.0713000000000044</v>
      </c>
    </row>
    <row r="19" spans="1:2" x14ac:dyDescent="0.25">
      <c r="A19" s="5" t="s">
        <v>75</v>
      </c>
      <c r="B19" s="6">
        <v>8.0670000000000055</v>
      </c>
    </row>
    <row r="20" spans="1:2" x14ac:dyDescent="0.25">
      <c r="A20" s="5" t="s">
        <v>22</v>
      </c>
      <c r="B20" s="6">
        <v>8.4296000000000006</v>
      </c>
    </row>
    <row r="21" spans="1:2" x14ac:dyDescent="0.25">
      <c r="A21" s="5" t="s">
        <v>110</v>
      </c>
      <c r="B21" s="6">
        <v>7.2464999999999984</v>
      </c>
    </row>
    <row r="22" spans="1:2" x14ac:dyDescent="0.25">
      <c r="A22" s="5" t="s">
        <v>50</v>
      </c>
      <c r="B22" s="6">
        <v>12.620100000000004</v>
      </c>
    </row>
    <row r="23" spans="1:2" x14ac:dyDescent="0.25">
      <c r="A23" s="5" t="s">
        <v>43</v>
      </c>
      <c r="B23" s="6">
        <v>8.4629999999999974</v>
      </c>
    </row>
    <row r="24" spans="1:2" x14ac:dyDescent="0.25">
      <c r="A24" s="5" t="s">
        <v>97</v>
      </c>
      <c r="B24" s="6">
        <v>9.2636999999999947</v>
      </c>
    </row>
    <row r="25" spans="1:2" x14ac:dyDescent="0.25">
      <c r="A25" s="5" t="s">
        <v>57</v>
      </c>
      <c r="B25" s="6">
        <v>9.3110999999999979</v>
      </c>
    </row>
    <row r="26" spans="1:2" x14ac:dyDescent="0.25">
      <c r="A26" s="5" t="s">
        <v>105</v>
      </c>
      <c r="B26" s="6">
        <v>6.9796000000000031</v>
      </c>
    </row>
    <row r="27" spans="1:2" x14ac:dyDescent="0.25">
      <c r="A27" s="5" t="s">
        <v>39</v>
      </c>
      <c r="B27" s="6">
        <v>9.9582999999999977</v>
      </c>
    </row>
    <row r="28" spans="1:2" x14ac:dyDescent="0.25">
      <c r="A28" s="5" t="s">
        <v>115</v>
      </c>
      <c r="B28" s="6">
        <v>8.2465776765375978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440"/>
  <sheetViews>
    <sheetView workbookViewId="0">
      <selection activeCell="C8" sqref="C8"/>
    </sheetView>
  </sheetViews>
  <sheetFormatPr defaultRowHeight="15" x14ac:dyDescent="0.25"/>
  <cols>
    <col min="7" max="7" width="18.28515625" bestFit="1" customWidth="1"/>
    <col min="15" max="15" width="10.42578125" bestFit="1" customWidth="1"/>
  </cols>
  <sheetData>
    <row r="1" spans="1:1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t="s">
        <v>15</v>
      </c>
      <c r="B2" t="s">
        <v>16</v>
      </c>
      <c r="C2">
        <v>186.93164976833569</v>
      </c>
      <c r="D2" t="s">
        <v>17</v>
      </c>
      <c r="E2" t="s">
        <v>18</v>
      </c>
      <c r="F2" t="s">
        <v>19</v>
      </c>
      <c r="G2" s="2">
        <v>45782</v>
      </c>
      <c r="H2" t="s">
        <v>20</v>
      </c>
      <c r="I2" t="s">
        <v>20</v>
      </c>
      <c r="J2">
        <v>8.6034000000000006</v>
      </c>
      <c r="K2" t="s">
        <v>21</v>
      </c>
      <c r="L2">
        <v>2</v>
      </c>
      <c r="M2">
        <v>8.0508000000000006</v>
      </c>
      <c r="N2">
        <v>0.55259999999999998</v>
      </c>
      <c r="O2" s="3">
        <v>45782</v>
      </c>
    </row>
    <row r="3" spans="1:15" x14ac:dyDescent="0.25">
      <c r="A3" t="s">
        <v>15</v>
      </c>
      <c r="B3" t="s">
        <v>16</v>
      </c>
      <c r="C3">
        <v>199.87519138999599</v>
      </c>
      <c r="D3" t="s">
        <v>17</v>
      </c>
      <c r="E3" t="s">
        <v>18</v>
      </c>
      <c r="F3" t="s">
        <v>19</v>
      </c>
      <c r="G3" s="2">
        <v>45782</v>
      </c>
      <c r="H3" t="s">
        <v>20</v>
      </c>
      <c r="I3" t="s">
        <v>20</v>
      </c>
      <c r="J3">
        <v>8.6034000000000006</v>
      </c>
      <c r="K3" t="s">
        <v>21</v>
      </c>
      <c r="L3">
        <v>2</v>
      </c>
      <c r="M3">
        <v>8.0508000000000006</v>
      </c>
      <c r="N3">
        <v>0.55259999999999998</v>
      </c>
      <c r="O3" s="3">
        <v>45782</v>
      </c>
    </row>
    <row r="4" spans="1:15" x14ac:dyDescent="0.25">
      <c r="A4" t="s">
        <v>15</v>
      </c>
      <c r="B4" t="s">
        <v>16</v>
      </c>
      <c r="C4">
        <v>8.9138585652039684</v>
      </c>
      <c r="D4" t="s">
        <v>17</v>
      </c>
      <c r="E4" t="s">
        <v>18</v>
      </c>
      <c r="F4" t="s">
        <v>19</v>
      </c>
      <c r="G4" s="2">
        <v>45782</v>
      </c>
      <c r="H4" t="s">
        <v>20</v>
      </c>
      <c r="I4" t="s">
        <v>20</v>
      </c>
      <c r="J4">
        <v>8.6034000000000006</v>
      </c>
      <c r="K4" t="s">
        <v>21</v>
      </c>
      <c r="L4">
        <v>2</v>
      </c>
      <c r="M4">
        <v>8.0508000000000006</v>
      </c>
      <c r="N4">
        <v>0.55259999999999998</v>
      </c>
      <c r="O4" s="3">
        <v>45782</v>
      </c>
    </row>
    <row r="5" spans="1:15" x14ac:dyDescent="0.25">
      <c r="A5" t="s">
        <v>15</v>
      </c>
      <c r="B5" t="s">
        <v>16</v>
      </c>
      <c r="C5">
        <v>3.9937212316869051</v>
      </c>
      <c r="D5" t="s">
        <v>17</v>
      </c>
      <c r="E5" t="s">
        <v>18</v>
      </c>
      <c r="F5" t="s">
        <v>19</v>
      </c>
      <c r="G5" s="2">
        <v>45782</v>
      </c>
      <c r="H5" t="s">
        <v>20</v>
      </c>
      <c r="I5" t="s">
        <v>20</v>
      </c>
      <c r="J5">
        <v>8.6034000000000006</v>
      </c>
      <c r="K5" t="s">
        <v>21</v>
      </c>
      <c r="L5">
        <v>2</v>
      </c>
      <c r="M5">
        <v>8.0508000000000006</v>
      </c>
      <c r="N5">
        <v>0.55259999999999998</v>
      </c>
      <c r="O5" s="3">
        <v>45782</v>
      </c>
    </row>
    <row r="6" spans="1:15" x14ac:dyDescent="0.25">
      <c r="A6" t="s">
        <v>15</v>
      </c>
      <c r="B6" t="s">
        <v>16</v>
      </c>
      <c r="C6">
        <v>98.627022789034939</v>
      </c>
      <c r="D6" t="s">
        <v>17</v>
      </c>
      <c r="E6" t="s">
        <v>18</v>
      </c>
      <c r="F6" t="s">
        <v>19</v>
      </c>
      <c r="G6" s="2">
        <v>45782</v>
      </c>
      <c r="H6" t="s">
        <v>20</v>
      </c>
      <c r="I6" t="s">
        <v>20</v>
      </c>
      <c r="J6">
        <v>8.6034000000000006</v>
      </c>
      <c r="K6" t="s">
        <v>21</v>
      </c>
      <c r="L6">
        <v>2</v>
      </c>
      <c r="M6">
        <v>8.0508000000000006</v>
      </c>
      <c r="N6">
        <v>0.55259999999999998</v>
      </c>
      <c r="O6" s="3">
        <v>45782</v>
      </c>
    </row>
    <row r="7" spans="1:15" x14ac:dyDescent="0.25">
      <c r="A7" t="s">
        <v>15</v>
      </c>
      <c r="B7" t="s">
        <v>16</v>
      </c>
      <c r="C7">
        <v>124.94639232915949</v>
      </c>
      <c r="D7" t="s">
        <v>17</v>
      </c>
      <c r="E7" t="s">
        <v>18</v>
      </c>
      <c r="F7" t="s">
        <v>19</v>
      </c>
      <c r="G7" s="2">
        <v>45782</v>
      </c>
      <c r="H7" t="s">
        <v>20</v>
      </c>
      <c r="I7" t="s">
        <v>20</v>
      </c>
      <c r="J7">
        <v>8.6034000000000006</v>
      </c>
      <c r="K7" t="s">
        <v>21</v>
      </c>
      <c r="L7">
        <v>2</v>
      </c>
      <c r="M7">
        <v>8.0508000000000006</v>
      </c>
      <c r="N7">
        <v>0.55259999999999998</v>
      </c>
      <c r="O7" s="3">
        <v>45782</v>
      </c>
    </row>
    <row r="8" spans="1:15" x14ac:dyDescent="0.25">
      <c r="A8" t="s">
        <v>15</v>
      </c>
      <c r="B8" t="s">
        <v>16</v>
      </c>
      <c r="C8">
        <v>169.64047934057189</v>
      </c>
      <c r="D8" t="s">
        <v>17</v>
      </c>
      <c r="E8" t="s">
        <v>18</v>
      </c>
      <c r="F8" t="s">
        <v>19</v>
      </c>
      <c r="G8" s="2">
        <v>45782</v>
      </c>
      <c r="H8" t="s">
        <v>20</v>
      </c>
      <c r="I8" t="s">
        <v>20</v>
      </c>
      <c r="J8">
        <v>8.6034000000000006</v>
      </c>
      <c r="K8" t="s">
        <v>21</v>
      </c>
      <c r="L8">
        <v>2</v>
      </c>
      <c r="M8">
        <v>8.0508000000000006</v>
      </c>
      <c r="N8">
        <v>0.55259999999999998</v>
      </c>
      <c r="O8" s="3">
        <v>45782</v>
      </c>
    </row>
    <row r="9" spans="1:15" x14ac:dyDescent="0.25">
      <c r="A9" t="s">
        <v>15</v>
      </c>
      <c r="B9" t="s">
        <v>16</v>
      </c>
      <c r="C9">
        <v>149.9319502461</v>
      </c>
      <c r="D9" t="s">
        <v>17</v>
      </c>
      <c r="E9" t="s">
        <v>18</v>
      </c>
      <c r="F9" t="s">
        <v>19</v>
      </c>
      <c r="G9" s="2">
        <v>45782</v>
      </c>
      <c r="H9" t="s">
        <v>20</v>
      </c>
      <c r="I9" t="s">
        <v>20</v>
      </c>
      <c r="J9">
        <v>8.6034000000000006</v>
      </c>
      <c r="K9" t="s">
        <v>21</v>
      </c>
      <c r="L9">
        <v>2</v>
      </c>
      <c r="M9">
        <v>8.0508000000000006</v>
      </c>
      <c r="N9">
        <v>0.55259999999999998</v>
      </c>
      <c r="O9" s="3">
        <v>45782</v>
      </c>
    </row>
    <row r="10" spans="1:15" x14ac:dyDescent="0.25">
      <c r="A10" t="s">
        <v>22</v>
      </c>
      <c r="B10" t="s">
        <v>16</v>
      </c>
      <c r="C10">
        <v>8.2707021178571427</v>
      </c>
      <c r="D10" t="s">
        <v>23</v>
      </c>
      <c r="E10" t="s">
        <v>24</v>
      </c>
      <c r="F10" t="s">
        <v>19</v>
      </c>
      <c r="G10" s="2">
        <v>45782</v>
      </c>
      <c r="H10" t="s">
        <v>25</v>
      </c>
      <c r="I10" t="s">
        <v>25</v>
      </c>
      <c r="J10">
        <v>8.4296000000000006</v>
      </c>
      <c r="K10" t="s">
        <v>26</v>
      </c>
      <c r="L10">
        <v>2</v>
      </c>
      <c r="M10">
        <v>7.6223000000000001</v>
      </c>
      <c r="N10">
        <v>0.80730000000000057</v>
      </c>
      <c r="O10" s="3">
        <v>45782</v>
      </c>
    </row>
    <row r="11" spans="1:15" x14ac:dyDescent="0.25">
      <c r="A11" t="s">
        <v>22</v>
      </c>
      <c r="B11" t="s">
        <v>16</v>
      </c>
      <c r="C11">
        <v>10.372823428571429</v>
      </c>
      <c r="D11" t="s">
        <v>23</v>
      </c>
      <c r="E11" t="s">
        <v>24</v>
      </c>
      <c r="F11" t="s">
        <v>19</v>
      </c>
      <c r="G11" s="2">
        <v>45782</v>
      </c>
      <c r="H11" t="s">
        <v>25</v>
      </c>
      <c r="I11" t="s">
        <v>25</v>
      </c>
      <c r="J11">
        <v>8.4296000000000006</v>
      </c>
      <c r="K11" t="s">
        <v>26</v>
      </c>
      <c r="L11">
        <v>2</v>
      </c>
      <c r="M11">
        <v>7.6223000000000001</v>
      </c>
      <c r="N11">
        <v>0.80730000000000057</v>
      </c>
      <c r="O11" s="3">
        <v>45782</v>
      </c>
    </row>
    <row r="12" spans="1:15" x14ac:dyDescent="0.25">
      <c r="A12" t="s">
        <v>22</v>
      </c>
      <c r="B12" t="s">
        <v>16</v>
      </c>
      <c r="C12">
        <v>12.96401066785714</v>
      </c>
      <c r="D12" t="s">
        <v>23</v>
      </c>
      <c r="E12" t="s">
        <v>24</v>
      </c>
      <c r="F12" t="s">
        <v>19</v>
      </c>
      <c r="G12" s="2">
        <v>45782</v>
      </c>
      <c r="H12" t="s">
        <v>25</v>
      </c>
      <c r="I12" t="s">
        <v>25</v>
      </c>
      <c r="J12">
        <v>8.4296000000000006</v>
      </c>
      <c r="K12" t="s">
        <v>26</v>
      </c>
      <c r="L12">
        <v>2</v>
      </c>
      <c r="M12">
        <v>7.6223000000000001</v>
      </c>
      <c r="N12">
        <v>0.80730000000000057</v>
      </c>
      <c r="O12" s="3">
        <v>45782</v>
      </c>
    </row>
    <row r="13" spans="1:15" x14ac:dyDescent="0.25">
      <c r="A13" t="s">
        <v>22</v>
      </c>
      <c r="B13" t="s">
        <v>16</v>
      </c>
      <c r="C13">
        <v>5.5484481642857144</v>
      </c>
      <c r="D13" t="s">
        <v>23</v>
      </c>
      <c r="E13" t="s">
        <v>24</v>
      </c>
      <c r="F13" t="s">
        <v>19</v>
      </c>
      <c r="G13" s="2">
        <v>45782</v>
      </c>
      <c r="H13" t="s">
        <v>25</v>
      </c>
      <c r="I13" t="s">
        <v>25</v>
      </c>
      <c r="J13">
        <v>8.4296000000000006</v>
      </c>
      <c r="K13" t="s">
        <v>26</v>
      </c>
      <c r="L13">
        <v>2</v>
      </c>
      <c r="M13">
        <v>7.6223000000000001</v>
      </c>
      <c r="N13">
        <v>0.80730000000000057</v>
      </c>
      <c r="O13" s="3">
        <v>45782</v>
      </c>
    </row>
    <row r="14" spans="1:15" x14ac:dyDescent="0.25">
      <c r="A14" t="s">
        <v>22</v>
      </c>
      <c r="B14" t="s">
        <v>16</v>
      </c>
      <c r="C14">
        <v>2.8464261142857139</v>
      </c>
      <c r="D14" t="s">
        <v>23</v>
      </c>
      <c r="E14" t="s">
        <v>24</v>
      </c>
      <c r="F14" t="s">
        <v>19</v>
      </c>
      <c r="G14" s="2">
        <v>45782</v>
      </c>
      <c r="H14" t="s">
        <v>25</v>
      </c>
      <c r="I14" t="s">
        <v>25</v>
      </c>
      <c r="J14">
        <v>8.4296000000000006</v>
      </c>
      <c r="K14" t="s">
        <v>26</v>
      </c>
      <c r="L14">
        <v>2</v>
      </c>
      <c r="M14">
        <v>7.6223000000000001</v>
      </c>
      <c r="N14">
        <v>0.80730000000000057</v>
      </c>
      <c r="O14" s="3">
        <v>45782</v>
      </c>
    </row>
    <row r="15" spans="1:15" x14ac:dyDescent="0.25">
      <c r="A15" t="s">
        <v>22</v>
      </c>
      <c r="B15" t="s">
        <v>16</v>
      </c>
      <c r="C15">
        <v>581.42404310000006</v>
      </c>
      <c r="D15" t="s">
        <v>23</v>
      </c>
      <c r="E15" t="s">
        <v>24</v>
      </c>
      <c r="F15" t="s">
        <v>19</v>
      </c>
      <c r="G15" s="2">
        <v>45782</v>
      </c>
      <c r="H15" t="s">
        <v>25</v>
      </c>
      <c r="I15" t="s">
        <v>25</v>
      </c>
      <c r="J15">
        <v>8.4296000000000006</v>
      </c>
      <c r="K15" t="s">
        <v>26</v>
      </c>
      <c r="L15">
        <v>2</v>
      </c>
      <c r="M15">
        <v>7.6223000000000001</v>
      </c>
      <c r="N15">
        <v>0.80730000000000057</v>
      </c>
      <c r="O15" s="3">
        <v>45782</v>
      </c>
    </row>
    <row r="16" spans="1:15" x14ac:dyDescent="0.25">
      <c r="A16" t="s">
        <v>22</v>
      </c>
      <c r="B16" t="s">
        <v>16</v>
      </c>
      <c r="C16">
        <v>14.880752472857139</v>
      </c>
      <c r="D16" t="s">
        <v>23</v>
      </c>
      <c r="E16" t="s">
        <v>24</v>
      </c>
      <c r="F16" t="s">
        <v>19</v>
      </c>
      <c r="G16" s="2">
        <v>45782</v>
      </c>
      <c r="H16" t="s">
        <v>25</v>
      </c>
      <c r="I16" t="s">
        <v>25</v>
      </c>
      <c r="J16">
        <v>8.4296000000000006</v>
      </c>
      <c r="K16" t="s">
        <v>26</v>
      </c>
      <c r="L16">
        <v>2</v>
      </c>
      <c r="M16">
        <v>7.6223000000000001</v>
      </c>
      <c r="N16">
        <v>0.80730000000000057</v>
      </c>
      <c r="O16" s="3">
        <v>45782</v>
      </c>
    </row>
    <row r="17" spans="1:15" x14ac:dyDescent="0.25">
      <c r="A17" t="s">
        <v>27</v>
      </c>
      <c r="B17" t="s">
        <v>16</v>
      </c>
      <c r="C17">
        <v>7.2514907696000011</v>
      </c>
      <c r="D17" t="s">
        <v>28</v>
      </c>
      <c r="E17" t="s">
        <v>29</v>
      </c>
      <c r="F17" t="s">
        <v>19</v>
      </c>
      <c r="G17" s="2">
        <v>45782</v>
      </c>
      <c r="H17" t="s">
        <v>30</v>
      </c>
      <c r="I17" t="s">
        <v>30</v>
      </c>
      <c r="J17">
        <v>8.0358000000000001</v>
      </c>
      <c r="K17" t="s">
        <v>31</v>
      </c>
      <c r="L17">
        <v>2</v>
      </c>
      <c r="M17">
        <v>7.49</v>
      </c>
      <c r="N17">
        <v>0.54579999999999984</v>
      </c>
      <c r="O17" s="3">
        <v>45782</v>
      </c>
    </row>
    <row r="18" spans="1:15" x14ac:dyDescent="0.25">
      <c r="A18" t="s">
        <v>27</v>
      </c>
      <c r="B18" t="s">
        <v>16</v>
      </c>
      <c r="C18">
        <v>11.2924599153</v>
      </c>
      <c r="D18" t="s">
        <v>28</v>
      </c>
      <c r="E18" t="s">
        <v>29</v>
      </c>
      <c r="F18" t="s">
        <v>19</v>
      </c>
      <c r="G18" s="2">
        <v>45782</v>
      </c>
      <c r="H18" t="s">
        <v>30</v>
      </c>
      <c r="I18" t="s">
        <v>30</v>
      </c>
      <c r="J18">
        <v>8.0358000000000001</v>
      </c>
      <c r="K18" t="s">
        <v>31</v>
      </c>
      <c r="L18">
        <v>2</v>
      </c>
      <c r="M18">
        <v>7.49</v>
      </c>
      <c r="N18">
        <v>0.54579999999999984</v>
      </c>
      <c r="O18" s="3">
        <v>45782</v>
      </c>
    </row>
    <row r="19" spans="1:15" x14ac:dyDescent="0.25">
      <c r="A19" t="s">
        <v>32</v>
      </c>
      <c r="B19" t="s">
        <v>16</v>
      </c>
      <c r="C19">
        <v>15.469166878695241</v>
      </c>
      <c r="D19" t="s">
        <v>28</v>
      </c>
      <c r="E19" t="s">
        <v>33</v>
      </c>
      <c r="F19" t="s">
        <v>19</v>
      </c>
      <c r="G19" s="2">
        <v>45782</v>
      </c>
      <c r="H19" t="s">
        <v>34</v>
      </c>
      <c r="I19" t="s">
        <v>34</v>
      </c>
      <c r="J19">
        <v>7.8830999999999998</v>
      </c>
      <c r="K19" t="s">
        <v>35</v>
      </c>
      <c r="L19">
        <v>2</v>
      </c>
      <c r="M19">
        <v>7.49</v>
      </c>
      <c r="N19">
        <v>0.39309999999999962</v>
      </c>
      <c r="O19" s="3">
        <v>45782</v>
      </c>
    </row>
    <row r="20" spans="1:15" x14ac:dyDescent="0.25">
      <c r="A20" t="s">
        <v>36</v>
      </c>
      <c r="B20" t="s">
        <v>16</v>
      </c>
      <c r="C20">
        <v>63.659514507599219</v>
      </c>
      <c r="D20" t="s">
        <v>28</v>
      </c>
      <c r="E20" t="s">
        <v>29</v>
      </c>
      <c r="F20" t="s">
        <v>19</v>
      </c>
      <c r="G20" s="2">
        <v>45782</v>
      </c>
      <c r="H20" t="s">
        <v>37</v>
      </c>
      <c r="I20" t="s">
        <v>37</v>
      </c>
      <c r="J20">
        <v>8.0528999999999993</v>
      </c>
      <c r="K20" t="s">
        <v>38</v>
      </c>
      <c r="L20">
        <v>2</v>
      </c>
      <c r="M20">
        <v>7.49</v>
      </c>
      <c r="N20">
        <v>0.56289999999999907</v>
      </c>
      <c r="O20" s="3">
        <v>45782</v>
      </c>
    </row>
    <row r="21" spans="1:15" x14ac:dyDescent="0.25">
      <c r="A21" t="s">
        <v>39</v>
      </c>
      <c r="B21" t="s">
        <v>16</v>
      </c>
      <c r="C21">
        <v>1.629815421277778</v>
      </c>
      <c r="D21" t="s">
        <v>28</v>
      </c>
      <c r="E21" t="s">
        <v>40</v>
      </c>
      <c r="F21" t="s">
        <v>19</v>
      </c>
      <c r="G21" s="2">
        <v>45782</v>
      </c>
      <c r="H21" t="s">
        <v>41</v>
      </c>
      <c r="I21" t="s">
        <v>41</v>
      </c>
      <c r="J21">
        <v>9.9582999999999995</v>
      </c>
      <c r="K21" t="s">
        <v>42</v>
      </c>
      <c r="L21">
        <v>2</v>
      </c>
      <c r="M21">
        <v>7.49</v>
      </c>
      <c r="N21">
        <v>2.4682999999999988</v>
      </c>
      <c r="O21" s="3">
        <v>45782</v>
      </c>
    </row>
    <row r="22" spans="1:15" x14ac:dyDescent="0.25">
      <c r="A22" t="s">
        <v>43</v>
      </c>
      <c r="B22" t="s">
        <v>16</v>
      </c>
      <c r="C22">
        <v>23.758411724599998</v>
      </c>
      <c r="D22" t="s">
        <v>28</v>
      </c>
      <c r="E22" t="s">
        <v>44</v>
      </c>
      <c r="F22" t="s">
        <v>19</v>
      </c>
      <c r="G22" s="2">
        <v>45782</v>
      </c>
      <c r="H22" t="s">
        <v>45</v>
      </c>
      <c r="I22" t="s">
        <v>45</v>
      </c>
      <c r="J22">
        <v>8.4629999999999992</v>
      </c>
      <c r="K22" t="s">
        <v>46</v>
      </c>
      <c r="L22">
        <v>2</v>
      </c>
      <c r="M22">
        <v>7.49</v>
      </c>
      <c r="N22">
        <v>0.97299999999999898</v>
      </c>
      <c r="O22" s="3">
        <v>45782</v>
      </c>
    </row>
    <row r="23" spans="1:15" x14ac:dyDescent="0.25">
      <c r="A23" t="s">
        <v>27</v>
      </c>
      <c r="B23" t="s">
        <v>16</v>
      </c>
      <c r="C23">
        <v>1.9539186769000001</v>
      </c>
      <c r="D23" t="s">
        <v>28</v>
      </c>
      <c r="E23" t="s">
        <v>29</v>
      </c>
      <c r="F23" t="s">
        <v>19</v>
      </c>
      <c r="G23" s="2">
        <v>45782</v>
      </c>
      <c r="H23" t="s">
        <v>30</v>
      </c>
      <c r="I23" t="s">
        <v>30</v>
      </c>
      <c r="J23">
        <v>8.0358000000000001</v>
      </c>
      <c r="K23" t="s">
        <v>31</v>
      </c>
      <c r="L23">
        <v>2</v>
      </c>
      <c r="M23">
        <v>7.49</v>
      </c>
      <c r="N23">
        <v>0.54579999999999984</v>
      </c>
      <c r="O23" s="3">
        <v>45782</v>
      </c>
    </row>
    <row r="24" spans="1:15" x14ac:dyDescent="0.25">
      <c r="A24" t="s">
        <v>32</v>
      </c>
      <c r="B24" t="s">
        <v>16</v>
      </c>
      <c r="C24">
        <v>10.267277024022221</v>
      </c>
      <c r="D24" t="s">
        <v>28</v>
      </c>
      <c r="E24" t="s">
        <v>33</v>
      </c>
      <c r="F24" t="s">
        <v>19</v>
      </c>
      <c r="G24" s="2">
        <v>45782</v>
      </c>
      <c r="H24" t="s">
        <v>34</v>
      </c>
      <c r="I24" t="s">
        <v>34</v>
      </c>
      <c r="J24">
        <v>7.8830999999999998</v>
      </c>
      <c r="K24" t="s">
        <v>35</v>
      </c>
      <c r="L24">
        <v>2</v>
      </c>
      <c r="M24">
        <v>7.49</v>
      </c>
      <c r="N24">
        <v>0.39309999999999962</v>
      </c>
      <c r="O24" s="3">
        <v>45782</v>
      </c>
    </row>
    <row r="25" spans="1:15" x14ac:dyDescent="0.25">
      <c r="A25" t="s">
        <v>27</v>
      </c>
      <c r="B25" t="s">
        <v>16</v>
      </c>
      <c r="C25">
        <v>9.2731763318000002</v>
      </c>
      <c r="D25" t="s">
        <v>28</v>
      </c>
      <c r="E25" t="s">
        <v>29</v>
      </c>
      <c r="F25" t="s">
        <v>19</v>
      </c>
      <c r="G25" s="2">
        <v>45782</v>
      </c>
      <c r="H25" t="s">
        <v>30</v>
      </c>
      <c r="I25" t="s">
        <v>30</v>
      </c>
      <c r="J25">
        <v>8.0358000000000001</v>
      </c>
      <c r="K25" t="s">
        <v>31</v>
      </c>
      <c r="L25">
        <v>2</v>
      </c>
      <c r="M25">
        <v>7.49</v>
      </c>
      <c r="N25">
        <v>0.54579999999999984</v>
      </c>
      <c r="O25" s="3">
        <v>45782</v>
      </c>
    </row>
    <row r="26" spans="1:15" x14ac:dyDescent="0.25">
      <c r="A26" t="s">
        <v>43</v>
      </c>
      <c r="B26" t="s">
        <v>16</v>
      </c>
      <c r="C26">
        <v>72.982597329425005</v>
      </c>
      <c r="D26" t="s">
        <v>28</v>
      </c>
      <c r="E26" t="s">
        <v>44</v>
      </c>
      <c r="F26" t="s">
        <v>19</v>
      </c>
      <c r="G26" s="2">
        <v>45782</v>
      </c>
      <c r="H26" t="s">
        <v>45</v>
      </c>
      <c r="I26" t="s">
        <v>45</v>
      </c>
      <c r="J26">
        <v>8.4629999999999992</v>
      </c>
      <c r="K26" t="s">
        <v>46</v>
      </c>
      <c r="L26">
        <v>2</v>
      </c>
      <c r="M26">
        <v>7.49</v>
      </c>
      <c r="N26">
        <v>0.97299999999999898</v>
      </c>
      <c r="O26" s="3">
        <v>45782</v>
      </c>
    </row>
    <row r="27" spans="1:15" x14ac:dyDescent="0.25">
      <c r="A27" t="s">
        <v>36</v>
      </c>
      <c r="B27" t="s">
        <v>16</v>
      </c>
      <c r="C27">
        <v>8.2821736369777774</v>
      </c>
      <c r="D27" t="s">
        <v>28</v>
      </c>
      <c r="E27" t="s">
        <v>29</v>
      </c>
      <c r="F27" t="s">
        <v>19</v>
      </c>
      <c r="G27" s="2">
        <v>45782</v>
      </c>
      <c r="H27" t="s">
        <v>37</v>
      </c>
      <c r="I27" t="s">
        <v>37</v>
      </c>
      <c r="J27">
        <v>8.0528999999999993</v>
      </c>
      <c r="K27" t="s">
        <v>38</v>
      </c>
      <c r="L27">
        <v>2</v>
      </c>
      <c r="M27">
        <v>7.49</v>
      </c>
      <c r="N27">
        <v>0.56289999999999907</v>
      </c>
      <c r="O27" s="3">
        <v>45782</v>
      </c>
    </row>
    <row r="28" spans="1:15" x14ac:dyDescent="0.25">
      <c r="A28" t="s">
        <v>47</v>
      </c>
      <c r="B28" t="s">
        <v>16</v>
      </c>
      <c r="C28">
        <v>1.339274423678571</v>
      </c>
      <c r="D28" t="s">
        <v>28</v>
      </c>
      <c r="E28" t="s">
        <v>40</v>
      </c>
      <c r="F28" t="s">
        <v>19</v>
      </c>
      <c r="G28" s="2">
        <v>45782</v>
      </c>
      <c r="H28" t="s">
        <v>48</v>
      </c>
      <c r="I28" t="s">
        <v>48</v>
      </c>
      <c r="J28">
        <v>7.4328000000000003</v>
      </c>
      <c r="K28" t="s">
        <v>49</v>
      </c>
      <c r="L28">
        <v>2</v>
      </c>
      <c r="M28">
        <v>7.49</v>
      </c>
      <c r="N28">
        <v>-5.7199999999999918E-2</v>
      </c>
      <c r="O28" s="3">
        <v>45782</v>
      </c>
    </row>
    <row r="29" spans="1:15" x14ac:dyDescent="0.25">
      <c r="A29" t="s">
        <v>47</v>
      </c>
      <c r="B29" t="s">
        <v>16</v>
      </c>
      <c r="C29">
        <v>11.9010146256</v>
      </c>
      <c r="D29" t="s">
        <v>28</v>
      </c>
      <c r="E29" t="s">
        <v>40</v>
      </c>
      <c r="F29" t="s">
        <v>19</v>
      </c>
      <c r="G29" s="2">
        <v>45782</v>
      </c>
      <c r="H29" t="s">
        <v>48</v>
      </c>
      <c r="I29" t="s">
        <v>48</v>
      </c>
      <c r="J29">
        <v>7.4328000000000003</v>
      </c>
      <c r="K29" t="s">
        <v>49</v>
      </c>
      <c r="L29">
        <v>2</v>
      </c>
      <c r="M29">
        <v>7.49</v>
      </c>
      <c r="N29">
        <v>-5.7199999999999918E-2</v>
      </c>
      <c r="O29" s="3">
        <v>45782</v>
      </c>
    </row>
    <row r="30" spans="1:15" x14ac:dyDescent="0.25">
      <c r="A30" t="s">
        <v>27</v>
      </c>
      <c r="B30" t="s">
        <v>16</v>
      </c>
      <c r="C30">
        <v>9.9769124106000024</v>
      </c>
      <c r="D30" t="s">
        <v>28</v>
      </c>
      <c r="E30" t="s">
        <v>29</v>
      </c>
      <c r="F30" t="s">
        <v>19</v>
      </c>
      <c r="G30" s="2">
        <v>45782</v>
      </c>
      <c r="H30" t="s">
        <v>30</v>
      </c>
      <c r="I30" t="s">
        <v>30</v>
      </c>
      <c r="J30">
        <v>8.0358000000000001</v>
      </c>
      <c r="K30" t="s">
        <v>31</v>
      </c>
      <c r="L30">
        <v>2</v>
      </c>
      <c r="M30">
        <v>7.49</v>
      </c>
      <c r="N30">
        <v>0.54579999999999984</v>
      </c>
      <c r="O30" s="3">
        <v>45782</v>
      </c>
    </row>
    <row r="31" spans="1:15" x14ac:dyDescent="0.25">
      <c r="A31" t="s">
        <v>36</v>
      </c>
      <c r="B31" t="s">
        <v>16</v>
      </c>
      <c r="C31">
        <v>62.547849560693663</v>
      </c>
      <c r="D31" t="s">
        <v>28</v>
      </c>
      <c r="E31" t="s">
        <v>29</v>
      </c>
      <c r="F31" t="s">
        <v>19</v>
      </c>
      <c r="G31" s="2">
        <v>45782</v>
      </c>
      <c r="H31" t="s">
        <v>37</v>
      </c>
      <c r="I31" t="s">
        <v>37</v>
      </c>
      <c r="J31">
        <v>8.0528999999999993</v>
      </c>
      <c r="K31" t="s">
        <v>38</v>
      </c>
      <c r="L31">
        <v>2</v>
      </c>
      <c r="M31">
        <v>7.49</v>
      </c>
      <c r="N31">
        <v>0.56289999999999907</v>
      </c>
      <c r="O31" s="3">
        <v>45782</v>
      </c>
    </row>
    <row r="32" spans="1:15" x14ac:dyDescent="0.25">
      <c r="A32" t="s">
        <v>47</v>
      </c>
      <c r="B32" t="s">
        <v>16</v>
      </c>
      <c r="C32">
        <v>7.2802144521555574</v>
      </c>
      <c r="D32" t="s">
        <v>28</v>
      </c>
      <c r="E32" t="s">
        <v>40</v>
      </c>
      <c r="F32" t="s">
        <v>19</v>
      </c>
      <c r="G32" s="2">
        <v>45782</v>
      </c>
      <c r="H32" t="s">
        <v>48</v>
      </c>
      <c r="I32" t="s">
        <v>48</v>
      </c>
      <c r="J32">
        <v>7.4328000000000003</v>
      </c>
      <c r="K32" t="s">
        <v>49</v>
      </c>
      <c r="L32">
        <v>2</v>
      </c>
      <c r="M32">
        <v>7.49</v>
      </c>
      <c r="N32">
        <v>-5.7199999999999918E-2</v>
      </c>
      <c r="O32" s="3">
        <v>45782</v>
      </c>
    </row>
    <row r="33" spans="1:15" x14ac:dyDescent="0.25">
      <c r="A33" t="s">
        <v>32</v>
      </c>
      <c r="B33" t="s">
        <v>16</v>
      </c>
      <c r="C33">
        <v>6.1498634360714286</v>
      </c>
      <c r="D33" t="s">
        <v>28</v>
      </c>
      <c r="E33" t="s">
        <v>33</v>
      </c>
      <c r="F33" t="s">
        <v>19</v>
      </c>
      <c r="G33" s="2">
        <v>45782</v>
      </c>
      <c r="H33" t="s">
        <v>34</v>
      </c>
      <c r="I33" t="s">
        <v>34</v>
      </c>
      <c r="J33">
        <v>7.8830999999999998</v>
      </c>
      <c r="K33" t="s">
        <v>35</v>
      </c>
      <c r="L33">
        <v>2</v>
      </c>
      <c r="M33">
        <v>7.49</v>
      </c>
      <c r="N33">
        <v>0.39309999999999962</v>
      </c>
      <c r="O33" s="3">
        <v>45782</v>
      </c>
    </row>
    <row r="34" spans="1:15" x14ac:dyDescent="0.25">
      <c r="A34" t="s">
        <v>27</v>
      </c>
      <c r="B34" t="s">
        <v>16</v>
      </c>
      <c r="C34">
        <v>8.0314805714000013</v>
      </c>
      <c r="D34" t="s">
        <v>28</v>
      </c>
      <c r="E34" t="s">
        <v>29</v>
      </c>
      <c r="F34" t="s">
        <v>19</v>
      </c>
      <c r="G34" s="2">
        <v>45782</v>
      </c>
      <c r="H34" t="s">
        <v>30</v>
      </c>
      <c r="I34" t="s">
        <v>30</v>
      </c>
      <c r="J34">
        <v>8.0358000000000001</v>
      </c>
      <c r="K34" t="s">
        <v>31</v>
      </c>
      <c r="L34">
        <v>2</v>
      </c>
      <c r="M34">
        <v>7.49</v>
      </c>
      <c r="N34">
        <v>0.54579999999999984</v>
      </c>
      <c r="O34" s="3">
        <v>45782</v>
      </c>
    </row>
    <row r="35" spans="1:15" x14ac:dyDescent="0.25">
      <c r="A35" t="s">
        <v>47</v>
      </c>
      <c r="B35" t="s">
        <v>16</v>
      </c>
      <c r="C35">
        <v>17.3996836245</v>
      </c>
      <c r="D35" t="s">
        <v>28</v>
      </c>
      <c r="E35" t="s">
        <v>40</v>
      </c>
      <c r="F35" t="s">
        <v>19</v>
      </c>
      <c r="G35" s="2">
        <v>45782</v>
      </c>
      <c r="H35" t="s">
        <v>48</v>
      </c>
      <c r="I35" t="s">
        <v>48</v>
      </c>
      <c r="J35">
        <v>7.4328000000000003</v>
      </c>
      <c r="K35" t="s">
        <v>49</v>
      </c>
      <c r="L35">
        <v>2</v>
      </c>
      <c r="M35">
        <v>7.49</v>
      </c>
      <c r="N35">
        <v>-5.7199999999999918E-2</v>
      </c>
      <c r="O35" s="3">
        <v>45782</v>
      </c>
    </row>
    <row r="36" spans="1:15" x14ac:dyDescent="0.25">
      <c r="A36" t="s">
        <v>43</v>
      </c>
      <c r="B36" t="s">
        <v>16</v>
      </c>
      <c r="C36">
        <v>43.332341366475013</v>
      </c>
      <c r="D36" t="s">
        <v>28</v>
      </c>
      <c r="E36" t="s">
        <v>44</v>
      </c>
      <c r="F36" t="s">
        <v>19</v>
      </c>
      <c r="G36" s="2">
        <v>45782</v>
      </c>
      <c r="H36" t="s">
        <v>45</v>
      </c>
      <c r="I36" t="s">
        <v>45</v>
      </c>
      <c r="J36">
        <v>8.4629999999999992</v>
      </c>
      <c r="K36" t="s">
        <v>46</v>
      </c>
      <c r="L36">
        <v>2</v>
      </c>
      <c r="M36">
        <v>7.49</v>
      </c>
      <c r="N36">
        <v>0.97299999999999898</v>
      </c>
      <c r="O36" s="3">
        <v>45782</v>
      </c>
    </row>
    <row r="37" spans="1:15" x14ac:dyDescent="0.25">
      <c r="A37" t="s">
        <v>50</v>
      </c>
      <c r="B37" t="s">
        <v>16</v>
      </c>
      <c r="C37">
        <v>0.37418416581904762</v>
      </c>
      <c r="D37" t="s">
        <v>28</v>
      </c>
      <c r="E37" t="s">
        <v>51</v>
      </c>
      <c r="F37" t="s">
        <v>19</v>
      </c>
      <c r="G37" s="2">
        <v>45782</v>
      </c>
      <c r="H37" t="s">
        <v>52</v>
      </c>
      <c r="I37" t="s">
        <v>52</v>
      </c>
      <c r="J37">
        <v>12.620100000000001</v>
      </c>
      <c r="K37" t="s">
        <v>53</v>
      </c>
      <c r="L37">
        <v>2</v>
      </c>
      <c r="M37">
        <v>7.49</v>
      </c>
      <c r="N37">
        <v>5.1301000000000014</v>
      </c>
      <c r="O37" s="3">
        <v>45782</v>
      </c>
    </row>
    <row r="38" spans="1:15" x14ac:dyDescent="0.25">
      <c r="A38" t="s">
        <v>36</v>
      </c>
      <c r="B38" t="s">
        <v>16</v>
      </c>
      <c r="C38">
        <v>60.06135885500715</v>
      </c>
      <c r="D38" t="s">
        <v>28</v>
      </c>
      <c r="E38" t="s">
        <v>29</v>
      </c>
      <c r="F38" t="s">
        <v>19</v>
      </c>
      <c r="G38" s="2">
        <v>45782</v>
      </c>
      <c r="H38" t="s">
        <v>37</v>
      </c>
      <c r="I38" t="s">
        <v>37</v>
      </c>
      <c r="J38">
        <v>8.0528999999999993</v>
      </c>
      <c r="K38" t="s">
        <v>38</v>
      </c>
      <c r="L38">
        <v>2</v>
      </c>
      <c r="M38">
        <v>7.49</v>
      </c>
      <c r="N38">
        <v>0.56289999999999907</v>
      </c>
      <c r="O38" s="3">
        <v>45782</v>
      </c>
    </row>
    <row r="39" spans="1:15" x14ac:dyDescent="0.25">
      <c r="A39" t="s">
        <v>27</v>
      </c>
      <c r="B39" t="s">
        <v>16</v>
      </c>
      <c r="C39">
        <v>10.825239515</v>
      </c>
      <c r="D39" t="s">
        <v>28</v>
      </c>
      <c r="E39" t="s">
        <v>29</v>
      </c>
      <c r="F39" t="s">
        <v>19</v>
      </c>
      <c r="G39" s="2">
        <v>45782</v>
      </c>
      <c r="H39" t="s">
        <v>30</v>
      </c>
      <c r="I39" t="s">
        <v>30</v>
      </c>
      <c r="J39">
        <v>8.0358000000000001</v>
      </c>
      <c r="K39" t="s">
        <v>31</v>
      </c>
      <c r="L39">
        <v>2</v>
      </c>
      <c r="M39">
        <v>7.49</v>
      </c>
      <c r="N39">
        <v>0.54579999999999984</v>
      </c>
      <c r="O39" s="3">
        <v>45782</v>
      </c>
    </row>
    <row r="40" spans="1:15" x14ac:dyDescent="0.25">
      <c r="A40" t="s">
        <v>43</v>
      </c>
      <c r="B40" t="s">
        <v>16</v>
      </c>
      <c r="C40">
        <v>22.027346689950001</v>
      </c>
      <c r="D40" t="s">
        <v>28</v>
      </c>
      <c r="E40" t="s">
        <v>44</v>
      </c>
      <c r="F40" t="s">
        <v>19</v>
      </c>
      <c r="G40" s="2">
        <v>45782</v>
      </c>
      <c r="H40" t="s">
        <v>45</v>
      </c>
      <c r="I40" t="s">
        <v>45</v>
      </c>
      <c r="J40">
        <v>8.4629999999999992</v>
      </c>
      <c r="K40" t="s">
        <v>46</v>
      </c>
      <c r="L40">
        <v>2</v>
      </c>
      <c r="M40">
        <v>7.49</v>
      </c>
      <c r="N40">
        <v>0.97299999999999898</v>
      </c>
      <c r="O40" s="3">
        <v>45782</v>
      </c>
    </row>
    <row r="41" spans="1:15" x14ac:dyDescent="0.25">
      <c r="A41" t="s">
        <v>27</v>
      </c>
      <c r="B41" t="s">
        <v>16</v>
      </c>
      <c r="C41">
        <v>0.1935287732</v>
      </c>
      <c r="D41" t="s">
        <v>28</v>
      </c>
      <c r="E41" t="s">
        <v>29</v>
      </c>
      <c r="F41" t="s">
        <v>19</v>
      </c>
      <c r="G41" s="2">
        <v>45782</v>
      </c>
      <c r="H41" t="s">
        <v>30</v>
      </c>
      <c r="I41" t="s">
        <v>30</v>
      </c>
      <c r="J41">
        <v>8.0358000000000001</v>
      </c>
      <c r="K41" t="s">
        <v>31</v>
      </c>
      <c r="L41">
        <v>2</v>
      </c>
      <c r="M41">
        <v>7.49</v>
      </c>
      <c r="N41">
        <v>0.54579999999999984</v>
      </c>
      <c r="O41" s="3">
        <v>45782</v>
      </c>
    </row>
    <row r="42" spans="1:15" x14ac:dyDescent="0.25">
      <c r="A42" t="s">
        <v>27</v>
      </c>
      <c r="B42" t="s">
        <v>16</v>
      </c>
      <c r="C42">
        <v>16.574703096899999</v>
      </c>
      <c r="D42" t="s">
        <v>28</v>
      </c>
      <c r="E42" t="s">
        <v>29</v>
      </c>
      <c r="F42" t="s">
        <v>19</v>
      </c>
      <c r="G42" s="2">
        <v>45782</v>
      </c>
      <c r="H42" t="s">
        <v>30</v>
      </c>
      <c r="I42" t="s">
        <v>30</v>
      </c>
      <c r="J42">
        <v>8.0358000000000001</v>
      </c>
      <c r="K42" t="s">
        <v>31</v>
      </c>
      <c r="L42">
        <v>2</v>
      </c>
      <c r="M42">
        <v>7.49</v>
      </c>
      <c r="N42">
        <v>0.54579999999999984</v>
      </c>
      <c r="O42" s="3">
        <v>45782</v>
      </c>
    </row>
    <row r="43" spans="1:15" x14ac:dyDescent="0.25">
      <c r="A43" t="s">
        <v>47</v>
      </c>
      <c r="B43" t="s">
        <v>16</v>
      </c>
      <c r="C43">
        <v>29.872661886834919</v>
      </c>
      <c r="D43" t="s">
        <v>28</v>
      </c>
      <c r="E43" t="s">
        <v>40</v>
      </c>
      <c r="F43" t="s">
        <v>19</v>
      </c>
      <c r="G43" s="2">
        <v>45782</v>
      </c>
      <c r="H43" t="s">
        <v>48</v>
      </c>
      <c r="I43" t="s">
        <v>48</v>
      </c>
      <c r="J43">
        <v>7.4328000000000003</v>
      </c>
      <c r="K43" t="s">
        <v>49</v>
      </c>
      <c r="L43">
        <v>2</v>
      </c>
      <c r="M43">
        <v>7.49</v>
      </c>
      <c r="N43">
        <v>-5.7199999999999918E-2</v>
      </c>
      <c r="O43" s="3">
        <v>45782</v>
      </c>
    </row>
    <row r="44" spans="1:15" x14ac:dyDescent="0.25">
      <c r="A44" t="s">
        <v>43</v>
      </c>
      <c r="B44" t="s">
        <v>16</v>
      </c>
      <c r="C44">
        <v>74.7660859561</v>
      </c>
      <c r="D44" t="s">
        <v>28</v>
      </c>
      <c r="E44" t="s">
        <v>44</v>
      </c>
      <c r="F44" t="s">
        <v>19</v>
      </c>
      <c r="G44" s="2">
        <v>45782</v>
      </c>
      <c r="H44" t="s">
        <v>45</v>
      </c>
      <c r="I44" t="s">
        <v>45</v>
      </c>
      <c r="J44">
        <v>8.4629999999999992</v>
      </c>
      <c r="K44" t="s">
        <v>46</v>
      </c>
      <c r="L44">
        <v>2</v>
      </c>
      <c r="M44">
        <v>7.49</v>
      </c>
      <c r="N44">
        <v>0.97299999999999898</v>
      </c>
      <c r="O44" s="3">
        <v>45782</v>
      </c>
    </row>
    <row r="45" spans="1:15" x14ac:dyDescent="0.25">
      <c r="A45" t="s">
        <v>36</v>
      </c>
      <c r="B45" t="s">
        <v>16</v>
      </c>
      <c r="C45">
        <v>42.59875141692936</v>
      </c>
      <c r="D45" t="s">
        <v>28</v>
      </c>
      <c r="E45" t="s">
        <v>29</v>
      </c>
      <c r="F45" t="s">
        <v>19</v>
      </c>
      <c r="G45" s="2">
        <v>45782</v>
      </c>
      <c r="H45" t="s">
        <v>37</v>
      </c>
      <c r="I45" t="s">
        <v>37</v>
      </c>
      <c r="J45">
        <v>8.0528999999999993</v>
      </c>
      <c r="K45" t="s">
        <v>38</v>
      </c>
      <c r="L45">
        <v>2</v>
      </c>
      <c r="M45">
        <v>7.49</v>
      </c>
      <c r="N45">
        <v>0.56289999999999907</v>
      </c>
      <c r="O45" s="3">
        <v>45782</v>
      </c>
    </row>
    <row r="46" spans="1:15" x14ac:dyDescent="0.25">
      <c r="A46" t="s">
        <v>47</v>
      </c>
      <c r="B46" t="s">
        <v>16</v>
      </c>
      <c r="C46">
        <v>41.752492150857137</v>
      </c>
      <c r="D46" t="s">
        <v>28</v>
      </c>
      <c r="E46" t="s">
        <v>40</v>
      </c>
      <c r="F46" t="s">
        <v>19</v>
      </c>
      <c r="G46" s="2">
        <v>45782</v>
      </c>
      <c r="H46" t="s">
        <v>48</v>
      </c>
      <c r="I46" t="s">
        <v>48</v>
      </c>
      <c r="J46">
        <v>7.4328000000000003</v>
      </c>
      <c r="K46" t="s">
        <v>49</v>
      </c>
      <c r="L46">
        <v>2</v>
      </c>
      <c r="M46">
        <v>7.49</v>
      </c>
      <c r="N46">
        <v>-5.7199999999999918E-2</v>
      </c>
      <c r="O46" s="3">
        <v>45782</v>
      </c>
    </row>
    <row r="47" spans="1:15" x14ac:dyDescent="0.25">
      <c r="A47" t="s">
        <v>39</v>
      </c>
      <c r="B47" t="s">
        <v>16</v>
      </c>
      <c r="C47">
        <v>0.30339337546666673</v>
      </c>
      <c r="D47" t="s">
        <v>28</v>
      </c>
      <c r="E47" t="s">
        <v>40</v>
      </c>
      <c r="F47" t="s">
        <v>19</v>
      </c>
      <c r="G47" s="2">
        <v>45782</v>
      </c>
      <c r="H47" t="s">
        <v>41</v>
      </c>
      <c r="I47" t="s">
        <v>41</v>
      </c>
      <c r="J47">
        <v>9.9582999999999995</v>
      </c>
      <c r="K47" t="s">
        <v>42</v>
      </c>
      <c r="L47">
        <v>2</v>
      </c>
      <c r="M47">
        <v>7.49</v>
      </c>
      <c r="N47">
        <v>2.4682999999999988</v>
      </c>
      <c r="O47" s="3">
        <v>45782</v>
      </c>
    </row>
    <row r="48" spans="1:15" x14ac:dyDescent="0.25">
      <c r="A48" t="s">
        <v>27</v>
      </c>
      <c r="B48" t="s">
        <v>16</v>
      </c>
      <c r="C48">
        <v>16.7128397418</v>
      </c>
      <c r="D48" t="s">
        <v>28</v>
      </c>
      <c r="E48" t="s">
        <v>29</v>
      </c>
      <c r="F48" t="s">
        <v>19</v>
      </c>
      <c r="G48" s="2">
        <v>45782</v>
      </c>
      <c r="H48" t="s">
        <v>30</v>
      </c>
      <c r="I48" t="s">
        <v>30</v>
      </c>
      <c r="J48">
        <v>8.0358000000000001</v>
      </c>
      <c r="K48" t="s">
        <v>31</v>
      </c>
      <c r="L48">
        <v>2</v>
      </c>
      <c r="M48">
        <v>7.49</v>
      </c>
      <c r="N48">
        <v>0.54579999999999984</v>
      </c>
      <c r="O48" s="3">
        <v>45782</v>
      </c>
    </row>
    <row r="49" spans="1:15" x14ac:dyDescent="0.25">
      <c r="A49" t="s">
        <v>43</v>
      </c>
      <c r="B49" t="s">
        <v>16</v>
      </c>
      <c r="C49">
        <v>56.762372632000023</v>
      </c>
      <c r="D49" t="s">
        <v>28</v>
      </c>
      <c r="E49" t="s">
        <v>44</v>
      </c>
      <c r="F49" t="s">
        <v>19</v>
      </c>
      <c r="G49" s="2">
        <v>45782</v>
      </c>
      <c r="H49" t="s">
        <v>45</v>
      </c>
      <c r="I49" t="s">
        <v>45</v>
      </c>
      <c r="J49">
        <v>8.4629999999999992</v>
      </c>
      <c r="K49" t="s">
        <v>46</v>
      </c>
      <c r="L49">
        <v>2</v>
      </c>
      <c r="M49">
        <v>7.49</v>
      </c>
      <c r="N49">
        <v>0.97299999999999898</v>
      </c>
      <c r="O49" s="3">
        <v>45782</v>
      </c>
    </row>
    <row r="50" spans="1:15" x14ac:dyDescent="0.25">
      <c r="A50" t="s">
        <v>36</v>
      </c>
      <c r="B50" t="s">
        <v>16</v>
      </c>
      <c r="C50">
        <v>68.74854044493334</v>
      </c>
      <c r="D50" t="s">
        <v>28</v>
      </c>
      <c r="E50" t="s">
        <v>29</v>
      </c>
      <c r="F50" t="s">
        <v>19</v>
      </c>
      <c r="G50" s="2">
        <v>45782</v>
      </c>
      <c r="H50" t="s">
        <v>37</v>
      </c>
      <c r="I50" t="s">
        <v>37</v>
      </c>
      <c r="J50">
        <v>8.0528999999999993</v>
      </c>
      <c r="K50" t="s">
        <v>38</v>
      </c>
      <c r="L50">
        <v>2</v>
      </c>
      <c r="M50">
        <v>7.49</v>
      </c>
      <c r="N50">
        <v>0.56289999999999907</v>
      </c>
      <c r="O50" s="3">
        <v>45782</v>
      </c>
    </row>
    <row r="51" spans="1:15" x14ac:dyDescent="0.25">
      <c r="A51" t="s">
        <v>36</v>
      </c>
      <c r="B51" t="s">
        <v>16</v>
      </c>
      <c r="C51">
        <v>89.349667750168265</v>
      </c>
      <c r="D51" t="s">
        <v>28</v>
      </c>
      <c r="E51" t="s">
        <v>29</v>
      </c>
      <c r="F51" t="s">
        <v>19</v>
      </c>
      <c r="G51" s="2">
        <v>45782</v>
      </c>
      <c r="H51" t="s">
        <v>37</v>
      </c>
      <c r="I51" t="s">
        <v>37</v>
      </c>
      <c r="J51">
        <v>8.0528999999999993</v>
      </c>
      <c r="K51" t="s">
        <v>38</v>
      </c>
      <c r="L51">
        <v>2</v>
      </c>
      <c r="M51">
        <v>7.49</v>
      </c>
      <c r="N51">
        <v>0.56289999999999907</v>
      </c>
      <c r="O51" s="3">
        <v>45782</v>
      </c>
    </row>
    <row r="52" spans="1:15" x14ac:dyDescent="0.25">
      <c r="A52" t="s">
        <v>47</v>
      </c>
      <c r="B52" t="s">
        <v>16</v>
      </c>
      <c r="C52">
        <v>35.778829298841273</v>
      </c>
      <c r="D52" t="s">
        <v>28</v>
      </c>
      <c r="E52" t="s">
        <v>40</v>
      </c>
      <c r="F52" t="s">
        <v>19</v>
      </c>
      <c r="G52" s="2">
        <v>45782</v>
      </c>
      <c r="H52" t="s">
        <v>48</v>
      </c>
      <c r="I52" t="s">
        <v>48</v>
      </c>
      <c r="J52">
        <v>7.4328000000000003</v>
      </c>
      <c r="K52" t="s">
        <v>49</v>
      </c>
      <c r="L52">
        <v>2</v>
      </c>
      <c r="M52">
        <v>7.49</v>
      </c>
      <c r="N52">
        <v>-5.7199999999999918E-2</v>
      </c>
      <c r="O52" s="3">
        <v>45782</v>
      </c>
    </row>
    <row r="53" spans="1:15" x14ac:dyDescent="0.25">
      <c r="A53" t="s">
        <v>36</v>
      </c>
      <c r="B53" t="s">
        <v>16</v>
      </c>
      <c r="C53">
        <v>49.238003331649999</v>
      </c>
      <c r="D53" t="s">
        <v>28</v>
      </c>
      <c r="E53" t="s">
        <v>29</v>
      </c>
      <c r="F53" t="s">
        <v>19</v>
      </c>
      <c r="G53" s="2">
        <v>45782</v>
      </c>
      <c r="H53" t="s">
        <v>37</v>
      </c>
      <c r="I53" t="s">
        <v>37</v>
      </c>
      <c r="J53">
        <v>8.0528999999999993</v>
      </c>
      <c r="K53" t="s">
        <v>38</v>
      </c>
      <c r="L53">
        <v>2</v>
      </c>
      <c r="M53">
        <v>7.49</v>
      </c>
      <c r="N53">
        <v>0.56289999999999907</v>
      </c>
      <c r="O53" s="3">
        <v>45782</v>
      </c>
    </row>
    <row r="54" spans="1:15" x14ac:dyDescent="0.25">
      <c r="A54" t="s">
        <v>43</v>
      </c>
      <c r="B54" t="s">
        <v>16</v>
      </c>
      <c r="C54">
        <v>70.301822075974997</v>
      </c>
      <c r="D54" t="s">
        <v>28</v>
      </c>
      <c r="E54" t="s">
        <v>44</v>
      </c>
      <c r="F54" t="s">
        <v>19</v>
      </c>
      <c r="G54" s="2">
        <v>45782</v>
      </c>
      <c r="H54" t="s">
        <v>45</v>
      </c>
      <c r="I54" t="s">
        <v>45</v>
      </c>
      <c r="J54">
        <v>8.4629999999999992</v>
      </c>
      <c r="K54" t="s">
        <v>46</v>
      </c>
      <c r="L54">
        <v>2</v>
      </c>
      <c r="M54">
        <v>7.49</v>
      </c>
      <c r="N54">
        <v>0.97299999999999898</v>
      </c>
      <c r="O54" s="3">
        <v>45782</v>
      </c>
    </row>
    <row r="55" spans="1:15" x14ac:dyDescent="0.25">
      <c r="A55" t="s">
        <v>36</v>
      </c>
      <c r="B55" t="s">
        <v>16</v>
      </c>
      <c r="C55">
        <v>68.660054589012702</v>
      </c>
      <c r="D55" t="s">
        <v>28</v>
      </c>
      <c r="E55" t="s">
        <v>29</v>
      </c>
      <c r="F55" t="s">
        <v>19</v>
      </c>
      <c r="G55" s="2">
        <v>45782</v>
      </c>
      <c r="H55" t="s">
        <v>37</v>
      </c>
      <c r="I55" t="s">
        <v>37</v>
      </c>
      <c r="J55">
        <v>8.0528999999999993</v>
      </c>
      <c r="K55" t="s">
        <v>38</v>
      </c>
      <c r="L55">
        <v>2</v>
      </c>
      <c r="M55">
        <v>7.49</v>
      </c>
      <c r="N55">
        <v>0.56289999999999907</v>
      </c>
      <c r="O55" s="3">
        <v>45782</v>
      </c>
    </row>
    <row r="56" spans="1:15" x14ac:dyDescent="0.25">
      <c r="A56" t="s">
        <v>43</v>
      </c>
      <c r="B56" t="s">
        <v>16</v>
      </c>
      <c r="C56">
        <v>69.049792498749994</v>
      </c>
      <c r="D56" t="s">
        <v>28</v>
      </c>
      <c r="E56" t="s">
        <v>44</v>
      </c>
      <c r="F56" t="s">
        <v>19</v>
      </c>
      <c r="G56" s="2">
        <v>45782</v>
      </c>
      <c r="H56" t="s">
        <v>45</v>
      </c>
      <c r="I56" t="s">
        <v>45</v>
      </c>
      <c r="J56">
        <v>8.4629999999999992</v>
      </c>
      <c r="K56" t="s">
        <v>46</v>
      </c>
      <c r="L56">
        <v>2</v>
      </c>
      <c r="M56">
        <v>7.49</v>
      </c>
      <c r="N56">
        <v>0.97299999999999898</v>
      </c>
      <c r="O56" s="3">
        <v>45782</v>
      </c>
    </row>
    <row r="57" spans="1:15" x14ac:dyDescent="0.25">
      <c r="A57" t="s">
        <v>47</v>
      </c>
      <c r="B57" t="s">
        <v>16</v>
      </c>
      <c r="C57">
        <v>39.702139479314283</v>
      </c>
      <c r="D57" t="s">
        <v>28</v>
      </c>
      <c r="E57" t="s">
        <v>40</v>
      </c>
      <c r="F57" t="s">
        <v>19</v>
      </c>
      <c r="G57" s="2">
        <v>45782</v>
      </c>
      <c r="H57" t="s">
        <v>48</v>
      </c>
      <c r="I57" t="s">
        <v>48</v>
      </c>
      <c r="J57">
        <v>7.4328000000000003</v>
      </c>
      <c r="K57" t="s">
        <v>49</v>
      </c>
      <c r="L57">
        <v>2</v>
      </c>
      <c r="M57">
        <v>7.49</v>
      </c>
      <c r="N57">
        <v>-5.7199999999999918E-2</v>
      </c>
      <c r="O57" s="3">
        <v>45782</v>
      </c>
    </row>
    <row r="58" spans="1:15" x14ac:dyDescent="0.25">
      <c r="A58" t="s">
        <v>36</v>
      </c>
      <c r="B58" t="s">
        <v>16</v>
      </c>
      <c r="C58">
        <v>88.687180087922641</v>
      </c>
      <c r="D58" t="s">
        <v>28</v>
      </c>
      <c r="E58" t="s">
        <v>29</v>
      </c>
      <c r="F58" t="s">
        <v>19</v>
      </c>
      <c r="G58" s="2">
        <v>45782</v>
      </c>
      <c r="H58" t="s">
        <v>37</v>
      </c>
      <c r="I58" t="s">
        <v>37</v>
      </c>
      <c r="J58">
        <v>8.0528999999999993</v>
      </c>
      <c r="K58" t="s">
        <v>38</v>
      </c>
      <c r="L58">
        <v>2</v>
      </c>
      <c r="M58">
        <v>7.49</v>
      </c>
      <c r="N58">
        <v>0.56289999999999907</v>
      </c>
      <c r="O58" s="3">
        <v>45782</v>
      </c>
    </row>
    <row r="59" spans="1:15" x14ac:dyDescent="0.25">
      <c r="A59" t="s">
        <v>47</v>
      </c>
      <c r="B59" t="s">
        <v>16</v>
      </c>
      <c r="C59">
        <v>33.167468932206347</v>
      </c>
      <c r="D59" t="s">
        <v>28</v>
      </c>
      <c r="E59" t="s">
        <v>40</v>
      </c>
      <c r="F59" t="s">
        <v>19</v>
      </c>
      <c r="G59" s="2">
        <v>45782</v>
      </c>
      <c r="H59" t="s">
        <v>48</v>
      </c>
      <c r="I59" t="s">
        <v>48</v>
      </c>
      <c r="J59">
        <v>7.4328000000000003</v>
      </c>
      <c r="K59" t="s">
        <v>49</v>
      </c>
      <c r="L59">
        <v>2</v>
      </c>
      <c r="M59">
        <v>7.49</v>
      </c>
      <c r="N59">
        <v>-5.7199999999999918E-2</v>
      </c>
      <c r="O59" s="3">
        <v>45782</v>
      </c>
    </row>
    <row r="60" spans="1:15" x14ac:dyDescent="0.25">
      <c r="A60" t="s">
        <v>47</v>
      </c>
      <c r="B60" t="s">
        <v>16</v>
      </c>
      <c r="C60">
        <v>21.19081636516032</v>
      </c>
      <c r="D60" t="s">
        <v>28</v>
      </c>
      <c r="E60" t="s">
        <v>40</v>
      </c>
      <c r="F60" t="s">
        <v>19</v>
      </c>
      <c r="G60" s="2">
        <v>45782</v>
      </c>
      <c r="H60" t="s">
        <v>48</v>
      </c>
      <c r="I60" t="s">
        <v>48</v>
      </c>
      <c r="J60">
        <v>7.4328000000000003</v>
      </c>
      <c r="K60" t="s">
        <v>49</v>
      </c>
      <c r="L60">
        <v>2</v>
      </c>
      <c r="M60">
        <v>7.49</v>
      </c>
      <c r="N60">
        <v>-5.7199999999999918E-2</v>
      </c>
      <c r="O60" s="3">
        <v>45782</v>
      </c>
    </row>
    <row r="61" spans="1:15" x14ac:dyDescent="0.25">
      <c r="A61" t="s">
        <v>43</v>
      </c>
      <c r="B61" t="s">
        <v>16</v>
      </c>
      <c r="C61">
        <v>45.373544790000011</v>
      </c>
      <c r="D61" t="s">
        <v>28</v>
      </c>
      <c r="E61" t="s">
        <v>44</v>
      </c>
      <c r="F61" t="s">
        <v>19</v>
      </c>
      <c r="G61" s="2">
        <v>45782</v>
      </c>
      <c r="H61" t="s">
        <v>45</v>
      </c>
      <c r="I61" t="s">
        <v>45</v>
      </c>
      <c r="J61">
        <v>8.4629999999999992</v>
      </c>
      <c r="K61" t="s">
        <v>46</v>
      </c>
      <c r="L61">
        <v>2</v>
      </c>
      <c r="M61">
        <v>7.49</v>
      </c>
      <c r="N61">
        <v>0.97299999999999898</v>
      </c>
      <c r="O61" s="3">
        <v>45782</v>
      </c>
    </row>
    <row r="62" spans="1:15" x14ac:dyDescent="0.25">
      <c r="A62" t="s">
        <v>36</v>
      </c>
      <c r="B62" t="s">
        <v>16</v>
      </c>
      <c r="C62">
        <v>65.385422139467863</v>
      </c>
      <c r="D62" t="s">
        <v>28</v>
      </c>
      <c r="E62" t="s">
        <v>29</v>
      </c>
      <c r="F62" t="s">
        <v>19</v>
      </c>
      <c r="G62" s="2">
        <v>45782</v>
      </c>
      <c r="H62" t="s">
        <v>37</v>
      </c>
      <c r="I62" t="s">
        <v>37</v>
      </c>
      <c r="J62">
        <v>8.0528999999999993</v>
      </c>
      <c r="K62" t="s">
        <v>38</v>
      </c>
      <c r="L62">
        <v>2</v>
      </c>
      <c r="M62">
        <v>7.49</v>
      </c>
      <c r="N62">
        <v>0.56289999999999907</v>
      </c>
      <c r="O62" s="3">
        <v>45782</v>
      </c>
    </row>
    <row r="63" spans="1:15" x14ac:dyDescent="0.25">
      <c r="A63" t="s">
        <v>27</v>
      </c>
      <c r="B63" t="s">
        <v>16</v>
      </c>
      <c r="C63">
        <v>1.1491835053999999</v>
      </c>
      <c r="D63" t="s">
        <v>28</v>
      </c>
      <c r="E63" t="s">
        <v>29</v>
      </c>
      <c r="F63" t="s">
        <v>19</v>
      </c>
      <c r="G63" s="2">
        <v>45782</v>
      </c>
      <c r="H63" t="s">
        <v>30</v>
      </c>
      <c r="I63" t="s">
        <v>30</v>
      </c>
      <c r="J63">
        <v>8.0358000000000001</v>
      </c>
      <c r="K63" t="s">
        <v>31</v>
      </c>
      <c r="L63">
        <v>2</v>
      </c>
      <c r="M63">
        <v>7.49</v>
      </c>
      <c r="N63">
        <v>0.54579999999999984</v>
      </c>
      <c r="O63" s="3">
        <v>45782</v>
      </c>
    </row>
    <row r="64" spans="1:15" x14ac:dyDescent="0.25">
      <c r="A64" t="s">
        <v>27</v>
      </c>
      <c r="B64" t="s">
        <v>16</v>
      </c>
      <c r="C64">
        <v>12.274483800100001</v>
      </c>
      <c r="D64" t="s">
        <v>28</v>
      </c>
      <c r="E64" t="s">
        <v>29</v>
      </c>
      <c r="F64" t="s">
        <v>19</v>
      </c>
      <c r="G64" s="2">
        <v>45782</v>
      </c>
      <c r="H64" t="s">
        <v>30</v>
      </c>
      <c r="I64" t="s">
        <v>30</v>
      </c>
      <c r="J64">
        <v>8.0358000000000001</v>
      </c>
      <c r="K64" t="s">
        <v>31</v>
      </c>
      <c r="L64">
        <v>2</v>
      </c>
      <c r="M64">
        <v>7.49</v>
      </c>
      <c r="N64">
        <v>0.54579999999999984</v>
      </c>
      <c r="O64" s="3">
        <v>45782</v>
      </c>
    </row>
    <row r="65" spans="1:15" x14ac:dyDescent="0.25">
      <c r="A65" t="s">
        <v>27</v>
      </c>
      <c r="B65" t="s">
        <v>16</v>
      </c>
      <c r="C65">
        <v>11.954862009999999</v>
      </c>
      <c r="D65" t="s">
        <v>28</v>
      </c>
      <c r="E65" t="s">
        <v>29</v>
      </c>
      <c r="F65" t="s">
        <v>19</v>
      </c>
      <c r="G65" s="2">
        <v>45782</v>
      </c>
      <c r="H65" t="s">
        <v>30</v>
      </c>
      <c r="I65" t="s">
        <v>30</v>
      </c>
      <c r="J65">
        <v>8.0358000000000001</v>
      </c>
      <c r="K65" t="s">
        <v>31</v>
      </c>
      <c r="L65">
        <v>2</v>
      </c>
      <c r="M65">
        <v>7.49</v>
      </c>
      <c r="N65">
        <v>0.54579999999999984</v>
      </c>
      <c r="O65" s="3">
        <v>45782</v>
      </c>
    </row>
    <row r="66" spans="1:15" x14ac:dyDescent="0.25">
      <c r="A66" t="s">
        <v>43</v>
      </c>
      <c r="B66" t="s">
        <v>16</v>
      </c>
      <c r="C66">
        <v>73.863606812800001</v>
      </c>
      <c r="D66" t="s">
        <v>28</v>
      </c>
      <c r="E66" t="s">
        <v>44</v>
      </c>
      <c r="F66" t="s">
        <v>19</v>
      </c>
      <c r="G66" s="2">
        <v>45782</v>
      </c>
      <c r="H66" t="s">
        <v>45</v>
      </c>
      <c r="I66" t="s">
        <v>45</v>
      </c>
      <c r="J66">
        <v>8.4629999999999992</v>
      </c>
      <c r="K66" t="s">
        <v>46</v>
      </c>
      <c r="L66">
        <v>2</v>
      </c>
      <c r="M66">
        <v>7.49</v>
      </c>
      <c r="N66">
        <v>0.97299999999999898</v>
      </c>
      <c r="O66" s="3">
        <v>45782</v>
      </c>
    </row>
    <row r="67" spans="1:15" x14ac:dyDescent="0.25">
      <c r="A67" t="s">
        <v>27</v>
      </c>
      <c r="B67" t="s">
        <v>16</v>
      </c>
      <c r="C67">
        <v>11.7556642436</v>
      </c>
      <c r="D67" t="s">
        <v>28</v>
      </c>
      <c r="E67" t="s">
        <v>29</v>
      </c>
      <c r="F67" t="s">
        <v>19</v>
      </c>
      <c r="G67" s="2">
        <v>45782</v>
      </c>
      <c r="H67" t="s">
        <v>30</v>
      </c>
      <c r="I67" t="s">
        <v>30</v>
      </c>
      <c r="J67">
        <v>8.0358000000000001</v>
      </c>
      <c r="K67" t="s">
        <v>31</v>
      </c>
      <c r="L67">
        <v>2</v>
      </c>
      <c r="M67">
        <v>7.49</v>
      </c>
      <c r="N67">
        <v>0.54579999999999984</v>
      </c>
      <c r="O67" s="3">
        <v>45782</v>
      </c>
    </row>
    <row r="68" spans="1:15" x14ac:dyDescent="0.25">
      <c r="A68" t="s">
        <v>32</v>
      </c>
      <c r="B68" t="s">
        <v>16</v>
      </c>
      <c r="C68">
        <v>0.29685929133888889</v>
      </c>
      <c r="D68" t="s">
        <v>28</v>
      </c>
      <c r="E68" t="s">
        <v>33</v>
      </c>
      <c r="F68" t="s">
        <v>19</v>
      </c>
      <c r="G68" s="2">
        <v>45782</v>
      </c>
      <c r="H68" t="s">
        <v>34</v>
      </c>
      <c r="I68" t="s">
        <v>34</v>
      </c>
      <c r="J68">
        <v>7.8830999999999998</v>
      </c>
      <c r="K68" t="s">
        <v>35</v>
      </c>
      <c r="L68">
        <v>2</v>
      </c>
      <c r="M68">
        <v>7.49</v>
      </c>
      <c r="N68">
        <v>0.39309999999999962</v>
      </c>
      <c r="O68" s="3">
        <v>45782</v>
      </c>
    </row>
    <row r="69" spans="1:15" x14ac:dyDescent="0.25">
      <c r="A69" t="s">
        <v>27</v>
      </c>
      <c r="B69" t="s">
        <v>16</v>
      </c>
      <c r="C69">
        <v>1.5999016194</v>
      </c>
      <c r="D69" t="s">
        <v>28</v>
      </c>
      <c r="E69" t="s">
        <v>29</v>
      </c>
      <c r="F69" t="s">
        <v>19</v>
      </c>
      <c r="G69" s="2">
        <v>45782</v>
      </c>
      <c r="H69" t="s">
        <v>30</v>
      </c>
      <c r="I69" t="s">
        <v>30</v>
      </c>
      <c r="J69">
        <v>8.0358000000000001</v>
      </c>
      <c r="K69" t="s">
        <v>31</v>
      </c>
      <c r="L69">
        <v>2</v>
      </c>
      <c r="M69">
        <v>7.49</v>
      </c>
      <c r="N69">
        <v>0.54579999999999984</v>
      </c>
      <c r="O69" s="3">
        <v>45782</v>
      </c>
    </row>
    <row r="70" spans="1:15" x14ac:dyDescent="0.25">
      <c r="A70" t="s">
        <v>36</v>
      </c>
      <c r="B70" t="s">
        <v>16</v>
      </c>
      <c r="C70">
        <v>57.545789748055569</v>
      </c>
      <c r="D70" t="s">
        <v>28</v>
      </c>
      <c r="E70" t="s">
        <v>29</v>
      </c>
      <c r="F70" t="s">
        <v>19</v>
      </c>
      <c r="G70" s="2">
        <v>45782</v>
      </c>
      <c r="H70" t="s">
        <v>37</v>
      </c>
      <c r="I70" t="s">
        <v>37</v>
      </c>
      <c r="J70">
        <v>8.0528999999999993</v>
      </c>
      <c r="K70" t="s">
        <v>38</v>
      </c>
      <c r="L70">
        <v>2</v>
      </c>
      <c r="M70">
        <v>7.49</v>
      </c>
      <c r="N70">
        <v>0.56289999999999907</v>
      </c>
      <c r="O70" s="3">
        <v>45782</v>
      </c>
    </row>
    <row r="71" spans="1:15" x14ac:dyDescent="0.25">
      <c r="A71" t="s">
        <v>36</v>
      </c>
      <c r="B71" t="s">
        <v>16</v>
      </c>
      <c r="C71">
        <v>10.11470969727619</v>
      </c>
      <c r="D71" t="s">
        <v>28</v>
      </c>
      <c r="E71" t="s">
        <v>29</v>
      </c>
      <c r="F71" t="s">
        <v>19</v>
      </c>
      <c r="G71" s="2">
        <v>45782</v>
      </c>
      <c r="H71" t="s">
        <v>37</v>
      </c>
      <c r="I71" t="s">
        <v>37</v>
      </c>
      <c r="J71">
        <v>8.0528999999999993</v>
      </c>
      <c r="K71" t="s">
        <v>38</v>
      </c>
      <c r="L71">
        <v>2</v>
      </c>
      <c r="M71">
        <v>7.49</v>
      </c>
      <c r="N71">
        <v>0.56289999999999907</v>
      </c>
      <c r="O71" s="3">
        <v>45782</v>
      </c>
    </row>
    <row r="72" spans="1:15" x14ac:dyDescent="0.25">
      <c r="A72" t="s">
        <v>27</v>
      </c>
      <c r="B72" t="s">
        <v>16</v>
      </c>
      <c r="C72">
        <v>12.886235208</v>
      </c>
      <c r="D72" t="s">
        <v>28</v>
      </c>
      <c r="E72" t="s">
        <v>29</v>
      </c>
      <c r="F72" t="s">
        <v>19</v>
      </c>
      <c r="G72" s="2">
        <v>45782</v>
      </c>
      <c r="H72" t="s">
        <v>30</v>
      </c>
      <c r="I72" t="s">
        <v>30</v>
      </c>
      <c r="J72">
        <v>8.0358000000000001</v>
      </c>
      <c r="K72" t="s">
        <v>31</v>
      </c>
      <c r="L72">
        <v>2</v>
      </c>
      <c r="M72">
        <v>7.49</v>
      </c>
      <c r="N72">
        <v>0.54579999999999984</v>
      </c>
      <c r="O72" s="3">
        <v>45782</v>
      </c>
    </row>
    <row r="73" spans="1:15" x14ac:dyDescent="0.25">
      <c r="A73" t="s">
        <v>36</v>
      </c>
      <c r="B73" t="s">
        <v>16</v>
      </c>
      <c r="C73">
        <v>65.881152733977785</v>
      </c>
      <c r="D73" t="s">
        <v>28</v>
      </c>
      <c r="E73" t="s">
        <v>29</v>
      </c>
      <c r="F73" t="s">
        <v>19</v>
      </c>
      <c r="G73" s="2">
        <v>45782</v>
      </c>
      <c r="H73" t="s">
        <v>37</v>
      </c>
      <c r="I73" t="s">
        <v>37</v>
      </c>
      <c r="J73">
        <v>8.0528999999999993</v>
      </c>
      <c r="K73" t="s">
        <v>38</v>
      </c>
      <c r="L73">
        <v>2</v>
      </c>
      <c r="M73">
        <v>7.49</v>
      </c>
      <c r="N73">
        <v>0.56289999999999907</v>
      </c>
      <c r="O73" s="3">
        <v>45782</v>
      </c>
    </row>
    <row r="74" spans="1:15" x14ac:dyDescent="0.25">
      <c r="A74" t="s">
        <v>36</v>
      </c>
      <c r="B74" t="s">
        <v>16</v>
      </c>
      <c r="C74">
        <v>38.435609863858332</v>
      </c>
      <c r="D74" t="s">
        <v>28</v>
      </c>
      <c r="E74" t="s">
        <v>29</v>
      </c>
      <c r="F74" t="s">
        <v>19</v>
      </c>
      <c r="G74" s="2">
        <v>45782</v>
      </c>
      <c r="H74" t="s">
        <v>37</v>
      </c>
      <c r="I74" t="s">
        <v>37</v>
      </c>
      <c r="J74">
        <v>8.0528999999999993</v>
      </c>
      <c r="K74" t="s">
        <v>38</v>
      </c>
      <c r="L74">
        <v>2</v>
      </c>
      <c r="M74">
        <v>7.49</v>
      </c>
      <c r="N74">
        <v>0.56289999999999907</v>
      </c>
      <c r="O74" s="3">
        <v>45782</v>
      </c>
    </row>
    <row r="75" spans="1:15" x14ac:dyDescent="0.25">
      <c r="A75" t="s">
        <v>47</v>
      </c>
      <c r="B75" t="s">
        <v>16</v>
      </c>
      <c r="C75">
        <v>45.355164270099998</v>
      </c>
      <c r="D75" t="s">
        <v>28</v>
      </c>
      <c r="E75" t="s">
        <v>40</v>
      </c>
      <c r="F75" t="s">
        <v>19</v>
      </c>
      <c r="G75" s="2">
        <v>45782</v>
      </c>
      <c r="H75" t="s">
        <v>48</v>
      </c>
      <c r="I75" t="s">
        <v>48</v>
      </c>
      <c r="J75">
        <v>7.4328000000000003</v>
      </c>
      <c r="K75" t="s">
        <v>49</v>
      </c>
      <c r="L75">
        <v>2</v>
      </c>
      <c r="M75">
        <v>7.49</v>
      </c>
      <c r="N75">
        <v>-5.7199999999999918E-2</v>
      </c>
      <c r="O75" s="3">
        <v>45782</v>
      </c>
    </row>
    <row r="76" spans="1:15" x14ac:dyDescent="0.25">
      <c r="A76" t="s">
        <v>36</v>
      </c>
      <c r="B76" t="s">
        <v>16</v>
      </c>
      <c r="C76">
        <v>52.993673107107952</v>
      </c>
      <c r="D76" t="s">
        <v>28</v>
      </c>
      <c r="E76" t="s">
        <v>29</v>
      </c>
      <c r="F76" t="s">
        <v>19</v>
      </c>
      <c r="G76" s="2">
        <v>45782</v>
      </c>
      <c r="H76" t="s">
        <v>37</v>
      </c>
      <c r="I76" t="s">
        <v>37</v>
      </c>
      <c r="J76">
        <v>8.0528999999999993</v>
      </c>
      <c r="K76" t="s">
        <v>38</v>
      </c>
      <c r="L76">
        <v>2</v>
      </c>
      <c r="M76">
        <v>7.49</v>
      </c>
      <c r="N76">
        <v>0.56289999999999907</v>
      </c>
      <c r="O76" s="3">
        <v>45782</v>
      </c>
    </row>
    <row r="77" spans="1:15" x14ac:dyDescent="0.25">
      <c r="A77" t="s">
        <v>27</v>
      </c>
      <c r="B77" t="s">
        <v>16</v>
      </c>
      <c r="C77">
        <v>12.858975468000001</v>
      </c>
      <c r="D77" t="s">
        <v>28</v>
      </c>
      <c r="E77" t="s">
        <v>29</v>
      </c>
      <c r="F77" t="s">
        <v>19</v>
      </c>
      <c r="G77" s="2">
        <v>45782</v>
      </c>
      <c r="H77" t="s">
        <v>30</v>
      </c>
      <c r="I77" t="s">
        <v>30</v>
      </c>
      <c r="J77">
        <v>8.0358000000000001</v>
      </c>
      <c r="K77" t="s">
        <v>31</v>
      </c>
      <c r="L77">
        <v>2</v>
      </c>
      <c r="M77">
        <v>7.49</v>
      </c>
      <c r="N77">
        <v>0.54579999999999984</v>
      </c>
      <c r="O77" s="3">
        <v>45782</v>
      </c>
    </row>
    <row r="78" spans="1:15" x14ac:dyDescent="0.25">
      <c r="A78" t="s">
        <v>27</v>
      </c>
      <c r="B78" t="s">
        <v>16</v>
      </c>
      <c r="C78">
        <v>0.73907091640000011</v>
      </c>
      <c r="D78" t="s">
        <v>28</v>
      </c>
      <c r="E78" t="s">
        <v>29</v>
      </c>
      <c r="F78" t="s">
        <v>19</v>
      </c>
      <c r="G78" s="2">
        <v>45782</v>
      </c>
      <c r="H78" t="s">
        <v>30</v>
      </c>
      <c r="I78" t="s">
        <v>30</v>
      </c>
      <c r="J78">
        <v>8.0358000000000001</v>
      </c>
      <c r="K78" t="s">
        <v>31</v>
      </c>
      <c r="L78">
        <v>2</v>
      </c>
      <c r="M78">
        <v>7.49</v>
      </c>
      <c r="N78">
        <v>0.54579999999999984</v>
      </c>
      <c r="O78" s="3">
        <v>45782</v>
      </c>
    </row>
    <row r="79" spans="1:15" x14ac:dyDescent="0.25">
      <c r="A79" t="s">
        <v>43</v>
      </c>
      <c r="B79" t="s">
        <v>16</v>
      </c>
      <c r="C79">
        <v>74.722377779700011</v>
      </c>
      <c r="D79" t="s">
        <v>28</v>
      </c>
      <c r="E79" t="s">
        <v>44</v>
      </c>
      <c r="F79" t="s">
        <v>19</v>
      </c>
      <c r="G79" s="2">
        <v>45782</v>
      </c>
      <c r="H79" t="s">
        <v>45</v>
      </c>
      <c r="I79" t="s">
        <v>45</v>
      </c>
      <c r="J79">
        <v>8.4629999999999992</v>
      </c>
      <c r="K79" t="s">
        <v>46</v>
      </c>
      <c r="L79">
        <v>2</v>
      </c>
      <c r="M79">
        <v>7.49</v>
      </c>
      <c r="N79">
        <v>0.97299999999999898</v>
      </c>
      <c r="O79" s="3">
        <v>45782</v>
      </c>
    </row>
    <row r="80" spans="1:15" x14ac:dyDescent="0.25">
      <c r="A80" t="s">
        <v>27</v>
      </c>
      <c r="B80" t="s">
        <v>16</v>
      </c>
      <c r="C80">
        <v>12.357642638</v>
      </c>
      <c r="D80" t="s">
        <v>28</v>
      </c>
      <c r="E80" t="s">
        <v>29</v>
      </c>
      <c r="F80" t="s">
        <v>19</v>
      </c>
      <c r="G80" s="2">
        <v>45782</v>
      </c>
      <c r="H80" t="s">
        <v>30</v>
      </c>
      <c r="I80" t="s">
        <v>30</v>
      </c>
      <c r="J80">
        <v>8.0358000000000001</v>
      </c>
      <c r="K80" t="s">
        <v>31</v>
      </c>
      <c r="L80">
        <v>2</v>
      </c>
      <c r="M80">
        <v>7.49</v>
      </c>
      <c r="N80">
        <v>0.54579999999999984</v>
      </c>
      <c r="O80" s="3">
        <v>45782</v>
      </c>
    </row>
    <row r="81" spans="1:15" x14ac:dyDescent="0.25">
      <c r="A81" t="s">
        <v>43</v>
      </c>
      <c r="B81" t="s">
        <v>16</v>
      </c>
      <c r="C81">
        <v>21.856104649224999</v>
      </c>
      <c r="D81" t="s">
        <v>28</v>
      </c>
      <c r="E81" t="s">
        <v>44</v>
      </c>
      <c r="F81" t="s">
        <v>19</v>
      </c>
      <c r="G81" s="2">
        <v>45782</v>
      </c>
      <c r="H81" t="s">
        <v>45</v>
      </c>
      <c r="I81" t="s">
        <v>45</v>
      </c>
      <c r="J81">
        <v>8.4629999999999992</v>
      </c>
      <c r="K81" t="s">
        <v>46</v>
      </c>
      <c r="L81">
        <v>2</v>
      </c>
      <c r="M81">
        <v>7.49</v>
      </c>
      <c r="N81">
        <v>0.97299999999999898</v>
      </c>
      <c r="O81" s="3">
        <v>45782</v>
      </c>
    </row>
    <row r="82" spans="1:15" x14ac:dyDescent="0.25">
      <c r="A82" t="s">
        <v>47</v>
      </c>
      <c r="B82" t="s">
        <v>16</v>
      </c>
      <c r="C82">
        <v>1464.6856696859529</v>
      </c>
      <c r="D82" t="s">
        <v>28</v>
      </c>
      <c r="E82" t="s">
        <v>40</v>
      </c>
      <c r="F82" t="s">
        <v>19</v>
      </c>
      <c r="G82" s="2">
        <v>45782</v>
      </c>
      <c r="H82" t="s">
        <v>48</v>
      </c>
      <c r="I82" t="s">
        <v>48</v>
      </c>
      <c r="J82">
        <v>7.4328000000000003</v>
      </c>
      <c r="K82" t="s">
        <v>49</v>
      </c>
      <c r="L82">
        <v>2</v>
      </c>
      <c r="M82">
        <v>7.49</v>
      </c>
      <c r="N82">
        <v>-5.7199999999999918E-2</v>
      </c>
      <c r="O82" s="3">
        <v>45782</v>
      </c>
    </row>
    <row r="83" spans="1:15" x14ac:dyDescent="0.25">
      <c r="A83" t="s">
        <v>43</v>
      </c>
      <c r="B83" t="s">
        <v>16</v>
      </c>
      <c r="C83">
        <v>54.817799058225013</v>
      </c>
      <c r="D83" t="s">
        <v>28</v>
      </c>
      <c r="E83" t="s">
        <v>44</v>
      </c>
      <c r="F83" t="s">
        <v>19</v>
      </c>
      <c r="G83" s="2">
        <v>45782</v>
      </c>
      <c r="H83" t="s">
        <v>45</v>
      </c>
      <c r="I83" t="s">
        <v>45</v>
      </c>
      <c r="J83">
        <v>8.4629999999999992</v>
      </c>
      <c r="K83" t="s">
        <v>46</v>
      </c>
      <c r="L83">
        <v>2</v>
      </c>
      <c r="M83">
        <v>7.49</v>
      </c>
      <c r="N83">
        <v>0.97299999999999898</v>
      </c>
      <c r="O83" s="3">
        <v>45782</v>
      </c>
    </row>
    <row r="84" spans="1:15" x14ac:dyDescent="0.25">
      <c r="A84" t="s">
        <v>47</v>
      </c>
      <c r="B84" t="s">
        <v>16</v>
      </c>
      <c r="C84">
        <v>26.18360144387302</v>
      </c>
      <c r="D84" t="s">
        <v>28</v>
      </c>
      <c r="E84" t="s">
        <v>40</v>
      </c>
      <c r="F84" t="s">
        <v>19</v>
      </c>
      <c r="G84" s="2">
        <v>45782</v>
      </c>
      <c r="H84" t="s">
        <v>48</v>
      </c>
      <c r="I84" t="s">
        <v>48</v>
      </c>
      <c r="J84">
        <v>7.4328000000000003</v>
      </c>
      <c r="K84" t="s">
        <v>49</v>
      </c>
      <c r="L84">
        <v>2</v>
      </c>
      <c r="M84">
        <v>7.49</v>
      </c>
      <c r="N84">
        <v>-5.7199999999999918E-2</v>
      </c>
      <c r="O84" s="3">
        <v>45782</v>
      </c>
    </row>
    <row r="85" spans="1:15" x14ac:dyDescent="0.25">
      <c r="A85" t="s">
        <v>54</v>
      </c>
      <c r="B85" t="s">
        <v>16</v>
      </c>
      <c r="C85">
        <v>190.40630857142861</v>
      </c>
      <c r="D85" t="s">
        <v>28</v>
      </c>
      <c r="E85" t="s">
        <v>40</v>
      </c>
      <c r="F85" t="s">
        <v>19</v>
      </c>
      <c r="G85" s="2">
        <v>45782</v>
      </c>
      <c r="H85" t="s">
        <v>55</v>
      </c>
      <c r="I85" t="s">
        <v>55</v>
      </c>
      <c r="J85">
        <v>8.2566000000000006</v>
      </c>
      <c r="K85" t="s">
        <v>56</v>
      </c>
      <c r="L85">
        <v>2</v>
      </c>
      <c r="M85">
        <v>7.49</v>
      </c>
      <c r="N85">
        <v>0.76660000000000039</v>
      </c>
      <c r="O85" s="3">
        <v>45782</v>
      </c>
    </row>
    <row r="86" spans="1:15" x14ac:dyDescent="0.25">
      <c r="A86" t="s">
        <v>57</v>
      </c>
      <c r="B86" t="s">
        <v>16</v>
      </c>
      <c r="C86">
        <v>6.2746643980277783</v>
      </c>
      <c r="D86" t="s">
        <v>28</v>
      </c>
      <c r="E86" t="s">
        <v>58</v>
      </c>
      <c r="F86" t="s">
        <v>19</v>
      </c>
      <c r="G86" s="2">
        <v>45782</v>
      </c>
      <c r="H86" t="s">
        <v>59</v>
      </c>
      <c r="I86" t="s">
        <v>59</v>
      </c>
      <c r="J86">
        <v>9.3110999999999997</v>
      </c>
      <c r="K86" t="s">
        <v>60</v>
      </c>
      <c r="L86">
        <v>2</v>
      </c>
      <c r="M86">
        <v>7.49</v>
      </c>
      <c r="N86">
        <v>1.8210999999999991</v>
      </c>
      <c r="O86" s="3">
        <v>45782</v>
      </c>
    </row>
    <row r="87" spans="1:15" x14ac:dyDescent="0.25">
      <c r="A87" t="s">
        <v>61</v>
      </c>
      <c r="B87" t="s">
        <v>16</v>
      </c>
      <c r="C87">
        <v>24.846531788222229</v>
      </c>
      <c r="D87" t="s">
        <v>28</v>
      </c>
      <c r="E87" t="s">
        <v>62</v>
      </c>
      <c r="F87" t="s">
        <v>19</v>
      </c>
      <c r="G87" s="2">
        <v>45782</v>
      </c>
      <c r="H87" t="s">
        <v>63</v>
      </c>
      <c r="I87" t="s">
        <v>63</v>
      </c>
      <c r="J87">
        <v>9.3371999999999993</v>
      </c>
      <c r="K87" t="s">
        <v>64</v>
      </c>
      <c r="L87">
        <v>2</v>
      </c>
      <c r="M87">
        <v>7.49</v>
      </c>
      <c r="N87">
        <v>1.8471999999999991</v>
      </c>
      <c r="O87" s="3">
        <v>45782</v>
      </c>
    </row>
    <row r="88" spans="1:15" x14ac:dyDescent="0.25">
      <c r="A88" t="s">
        <v>39</v>
      </c>
      <c r="B88" t="s">
        <v>16</v>
      </c>
      <c r="C88">
        <v>88.01523619906348</v>
      </c>
      <c r="D88" t="s">
        <v>28</v>
      </c>
      <c r="E88" t="s">
        <v>40</v>
      </c>
      <c r="F88" t="s">
        <v>19</v>
      </c>
      <c r="G88" s="2">
        <v>45782</v>
      </c>
      <c r="H88" t="s">
        <v>41</v>
      </c>
      <c r="I88" t="s">
        <v>41</v>
      </c>
      <c r="J88">
        <v>9.9582999999999995</v>
      </c>
      <c r="K88" t="s">
        <v>42</v>
      </c>
      <c r="L88">
        <v>2</v>
      </c>
      <c r="M88">
        <v>7.49</v>
      </c>
      <c r="N88">
        <v>2.4682999999999988</v>
      </c>
      <c r="O88" s="3">
        <v>45782</v>
      </c>
    </row>
    <row r="89" spans="1:15" x14ac:dyDescent="0.25">
      <c r="A89" t="s">
        <v>61</v>
      </c>
      <c r="B89" t="s">
        <v>16</v>
      </c>
      <c r="C89">
        <v>20.285608944279758</v>
      </c>
      <c r="D89" t="s">
        <v>28</v>
      </c>
      <c r="E89" t="s">
        <v>62</v>
      </c>
      <c r="F89" t="s">
        <v>19</v>
      </c>
      <c r="G89" s="2">
        <v>45782</v>
      </c>
      <c r="H89" t="s">
        <v>63</v>
      </c>
      <c r="I89" t="s">
        <v>63</v>
      </c>
      <c r="J89">
        <v>9.3371999999999993</v>
      </c>
      <c r="K89" t="s">
        <v>64</v>
      </c>
      <c r="L89">
        <v>2</v>
      </c>
      <c r="M89">
        <v>7.49</v>
      </c>
      <c r="N89">
        <v>1.8471999999999991</v>
      </c>
      <c r="O89" s="3">
        <v>45782</v>
      </c>
    </row>
    <row r="90" spans="1:15" x14ac:dyDescent="0.25">
      <c r="A90" t="s">
        <v>57</v>
      </c>
      <c r="B90" t="s">
        <v>16</v>
      </c>
      <c r="C90">
        <v>4.0680727601587314</v>
      </c>
      <c r="D90" t="s">
        <v>28</v>
      </c>
      <c r="E90" t="s">
        <v>58</v>
      </c>
      <c r="F90" t="s">
        <v>19</v>
      </c>
      <c r="G90" s="2">
        <v>45782</v>
      </c>
      <c r="H90" t="s">
        <v>59</v>
      </c>
      <c r="I90" t="s">
        <v>59</v>
      </c>
      <c r="J90">
        <v>9.3110999999999997</v>
      </c>
      <c r="K90" t="s">
        <v>60</v>
      </c>
      <c r="L90">
        <v>2</v>
      </c>
      <c r="M90">
        <v>7.49</v>
      </c>
      <c r="N90">
        <v>1.8210999999999991</v>
      </c>
      <c r="O90" s="3">
        <v>45782</v>
      </c>
    </row>
    <row r="91" spans="1:15" x14ac:dyDescent="0.25">
      <c r="A91" t="s">
        <v>61</v>
      </c>
      <c r="B91" t="s">
        <v>16</v>
      </c>
      <c r="C91">
        <v>28.098577445019849</v>
      </c>
      <c r="D91" t="s">
        <v>28</v>
      </c>
      <c r="E91" t="s">
        <v>62</v>
      </c>
      <c r="F91" t="s">
        <v>19</v>
      </c>
      <c r="G91" s="2">
        <v>45782</v>
      </c>
      <c r="H91" t="s">
        <v>63</v>
      </c>
      <c r="I91" t="s">
        <v>63</v>
      </c>
      <c r="J91">
        <v>9.3371999999999993</v>
      </c>
      <c r="K91" t="s">
        <v>64</v>
      </c>
      <c r="L91">
        <v>2</v>
      </c>
      <c r="M91">
        <v>7.49</v>
      </c>
      <c r="N91">
        <v>1.8471999999999991</v>
      </c>
      <c r="O91" s="3">
        <v>45782</v>
      </c>
    </row>
    <row r="92" spans="1:15" x14ac:dyDescent="0.25">
      <c r="A92" t="s">
        <v>61</v>
      </c>
      <c r="B92" t="s">
        <v>16</v>
      </c>
      <c r="C92">
        <v>7.1532223446190484</v>
      </c>
      <c r="D92" t="s">
        <v>28</v>
      </c>
      <c r="E92" t="s">
        <v>62</v>
      </c>
      <c r="F92" t="s">
        <v>19</v>
      </c>
      <c r="G92" s="2">
        <v>45782</v>
      </c>
      <c r="H92" t="s">
        <v>63</v>
      </c>
      <c r="I92" t="s">
        <v>63</v>
      </c>
      <c r="J92">
        <v>9.3371999999999993</v>
      </c>
      <c r="K92" t="s">
        <v>64</v>
      </c>
      <c r="L92">
        <v>2</v>
      </c>
      <c r="M92">
        <v>7.49</v>
      </c>
      <c r="N92">
        <v>1.8471999999999991</v>
      </c>
      <c r="O92" s="3">
        <v>45782</v>
      </c>
    </row>
    <row r="93" spans="1:15" x14ac:dyDescent="0.25">
      <c r="A93" t="s">
        <v>57</v>
      </c>
      <c r="B93" t="s">
        <v>16</v>
      </c>
      <c r="C93">
        <v>10.60228527105158</v>
      </c>
      <c r="D93" t="s">
        <v>28</v>
      </c>
      <c r="E93" t="s">
        <v>58</v>
      </c>
      <c r="F93" t="s">
        <v>19</v>
      </c>
      <c r="G93" s="2">
        <v>45782</v>
      </c>
      <c r="H93" t="s">
        <v>59</v>
      </c>
      <c r="I93" t="s">
        <v>59</v>
      </c>
      <c r="J93">
        <v>9.3110999999999997</v>
      </c>
      <c r="K93" t="s">
        <v>60</v>
      </c>
      <c r="L93">
        <v>2</v>
      </c>
      <c r="M93">
        <v>7.49</v>
      </c>
      <c r="N93">
        <v>1.8210999999999991</v>
      </c>
      <c r="O93" s="3">
        <v>45782</v>
      </c>
    </row>
    <row r="94" spans="1:15" x14ac:dyDescent="0.25">
      <c r="A94" t="s">
        <v>61</v>
      </c>
      <c r="B94" t="s">
        <v>16</v>
      </c>
      <c r="C94">
        <v>1.3275500382480161</v>
      </c>
      <c r="D94" t="s">
        <v>28</v>
      </c>
      <c r="E94" t="s">
        <v>62</v>
      </c>
      <c r="F94" t="s">
        <v>19</v>
      </c>
      <c r="G94" s="2">
        <v>45782</v>
      </c>
      <c r="H94" t="s">
        <v>63</v>
      </c>
      <c r="I94" t="s">
        <v>63</v>
      </c>
      <c r="J94">
        <v>9.3371999999999993</v>
      </c>
      <c r="K94" t="s">
        <v>64</v>
      </c>
      <c r="L94">
        <v>2</v>
      </c>
      <c r="M94">
        <v>7.49</v>
      </c>
      <c r="N94">
        <v>1.8471999999999991</v>
      </c>
      <c r="O94" s="3">
        <v>45782</v>
      </c>
    </row>
    <row r="95" spans="1:15" x14ac:dyDescent="0.25">
      <c r="A95" t="s">
        <v>43</v>
      </c>
      <c r="B95" t="s">
        <v>16</v>
      </c>
      <c r="C95">
        <v>1.001813348375</v>
      </c>
      <c r="D95" t="s">
        <v>28</v>
      </c>
      <c r="E95" t="s">
        <v>44</v>
      </c>
      <c r="F95" t="s">
        <v>19</v>
      </c>
      <c r="G95" s="2">
        <v>45782</v>
      </c>
      <c r="H95" t="s">
        <v>45</v>
      </c>
      <c r="I95" t="s">
        <v>45</v>
      </c>
      <c r="J95">
        <v>8.4629999999999992</v>
      </c>
      <c r="K95" t="s">
        <v>46</v>
      </c>
      <c r="L95">
        <v>2</v>
      </c>
      <c r="M95">
        <v>7.49</v>
      </c>
      <c r="N95">
        <v>0.97299999999999898</v>
      </c>
      <c r="O95" s="3">
        <v>45782</v>
      </c>
    </row>
    <row r="96" spans="1:15" x14ac:dyDescent="0.25">
      <c r="A96" t="s">
        <v>57</v>
      </c>
      <c r="B96" t="s">
        <v>16</v>
      </c>
      <c r="C96">
        <v>8.72527863975</v>
      </c>
      <c r="D96" t="s">
        <v>28</v>
      </c>
      <c r="E96" t="s">
        <v>58</v>
      </c>
      <c r="F96" t="s">
        <v>19</v>
      </c>
      <c r="G96" s="2">
        <v>45782</v>
      </c>
      <c r="H96" t="s">
        <v>59</v>
      </c>
      <c r="I96" t="s">
        <v>59</v>
      </c>
      <c r="J96">
        <v>9.3110999999999997</v>
      </c>
      <c r="K96" t="s">
        <v>60</v>
      </c>
      <c r="L96">
        <v>2</v>
      </c>
      <c r="M96">
        <v>7.49</v>
      </c>
      <c r="N96">
        <v>1.8210999999999991</v>
      </c>
      <c r="O96" s="3">
        <v>45782</v>
      </c>
    </row>
    <row r="97" spans="1:15" x14ac:dyDescent="0.25">
      <c r="A97" t="s">
        <v>61</v>
      </c>
      <c r="B97" t="s">
        <v>16</v>
      </c>
      <c r="C97">
        <v>16.801506761222221</v>
      </c>
      <c r="D97" t="s">
        <v>28</v>
      </c>
      <c r="E97" t="s">
        <v>62</v>
      </c>
      <c r="F97" t="s">
        <v>19</v>
      </c>
      <c r="G97" s="2">
        <v>45782</v>
      </c>
      <c r="H97" t="s">
        <v>63</v>
      </c>
      <c r="I97" t="s">
        <v>63</v>
      </c>
      <c r="J97">
        <v>9.3371999999999993</v>
      </c>
      <c r="K97" t="s">
        <v>64</v>
      </c>
      <c r="L97">
        <v>2</v>
      </c>
      <c r="M97">
        <v>7.49</v>
      </c>
      <c r="N97">
        <v>1.8471999999999991</v>
      </c>
      <c r="O97" s="3">
        <v>45782</v>
      </c>
    </row>
    <row r="98" spans="1:15" x14ac:dyDescent="0.25">
      <c r="A98" t="s">
        <v>61</v>
      </c>
      <c r="B98" t="s">
        <v>16</v>
      </c>
      <c r="C98">
        <v>11.592694061339291</v>
      </c>
      <c r="D98" t="s">
        <v>28</v>
      </c>
      <c r="E98" t="s">
        <v>62</v>
      </c>
      <c r="F98" t="s">
        <v>19</v>
      </c>
      <c r="G98" s="2">
        <v>45782</v>
      </c>
      <c r="H98" t="s">
        <v>63</v>
      </c>
      <c r="I98" t="s">
        <v>63</v>
      </c>
      <c r="J98">
        <v>9.3371999999999993</v>
      </c>
      <c r="K98" t="s">
        <v>64</v>
      </c>
      <c r="L98">
        <v>2</v>
      </c>
      <c r="M98">
        <v>7.49</v>
      </c>
      <c r="N98">
        <v>1.8471999999999991</v>
      </c>
      <c r="O98" s="3">
        <v>45782</v>
      </c>
    </row>
    <row r="99" spans="1:15" x14ac:dyDescent="0.25">
      <c r="A99" t="s">
        <v>54</v>
      </c>
      <c r="B99" t="s">
        <v>16</v>
      </c>
      <c r="C99">
        <v>3.4559927785714288</v>
      </c>
      <c r="D99" t="s">
        <v>28</v>
      </c>
      <c r="E99" t="s">
        <v>40</v>
      </c>
      <c r="F99" t="s">
        <v>19</v>
      </c>
      <c r="G99" s="2">
        <v>45782</v>
      </c>
      <c r="H99" t="s">
        <v>55</v>
      </c>
      <c r="I99" t="s">
        <v>55</v>
      </c>
      <c r="J99">
        <v>8.2566000000000006</v>
      </c>
      <c r="K99" t="s">
        <v>56</v>
      </c>
      <c r="L99">
        <v>2</v>
      </c>
      <c r="M99">
        <v>7.49</v>
      </c>
      <c r="N99">
        <v>0.76660000000000039</v>
      </c>
      <c r="O99" s="3">
        <v>45782</v>
      </c>
    </row>
    <row r="100" spans="1:15" x14ac:dyDescent="0.25">
      <c r="A100" t="s">
        <v>43</v>
      </c>
      <c r="B100" t="s">
        <v>16</v>
      </c>
      <c r="C100">
        <v>3.6642155556999998</v>
      </c>
      <c r="D100" t="s">
        <v>28</v>
      </c>
      <c r="E100" t="s">
        <v>44</v>
      </c>
      <c r="F100" t="s">
        <v>19</v>
      </c>
      <c r="G100" s="2">
        <v>45782</v>
      </c>
      <c r="H100" t="s">
        <v>45</v>
      </c>
      <c r="I100" t="s">
        <v>45</v>
      </c>
      <c r="J100">
        <v>8.4629999999999992</v>
      </c>
      <c r="K100" t="s">
        <v>46</v>
      </c>
      <c r="L100">
        <v>2</v>
      </c>
      <c r="M100">
        <v>7.49</v>
      </c>
      <c r="N100">
        <v>0.97299999999999898</v>
      </c>
      <c r="O100" s="3">
        <v>45782</v>
      </c>
    </row>
    <row r="101" spans="1:15" x14ac:dyDescent="0.25">
      <c r="A101" t="s">
        <v>54</v>
      </c>
      <c r="B101" t="s">
        <v>16</v>
      </c>
      <c r="C101">
        <v>5.6282538803571436</v>
      </c>
      <c r="D101" t="s">
        <v>28</v>
      </c>
      <c r="E101" t="s">
        <v>40</v>
      </c>
      <c r="F101" t="s">
        <v>19</v>
      </c>
      <c r="G101" s="2">
        <v>45782</v>
      </c>
      <c r="H101" t="s">
        <v>55</v>
      </c>
      <c r="I101" t="s">
        <v>55</v>
      </c>
      <c r="J101">
        <v>8.2566000000000006</v>
      </c>
      <c r="K101" t="s">
        <v>56</v>
      </c>
      <c r="L101">
        <v>2</v>
      </c>
      <c r="M101">
        <v>7.49</v>
      </c>
      <c r="N101">
        <v>0.76660000000000039</v>
      </c>
      <c r="O101" s="3">
        <v>45782</v>
      </c>
    </row>
    <row r="102" spans="1:15" x14ac:dyDescent="0.25">
      <c r="A102" t="s">
        <v>61</v>
      </c>
      <c r="B102" t="s">
        <v>16</v>
      </c>
      <c r="C102">
        <v>30.926232247357149</v>
      </c>
      <c r="D102" t="s">
        <v>28</v>
      </c>
      <c r="E102" t="s">
        <v>62</v>
      </c>
      <c r="F102" t="s">
        <v>19</v>
      </c>
      <c r="G102" s="2">
        <v>45782</v>
      </c>
      <c r="H102" t="s">
        <v>63</v>
      </c>
      <c r="I102" t="s">
        <v>63</v>
      </c>
      <c r="J102">
        <v>9.3371999999999993</v>
      </c>
      <c r="K102" t="s">
        <v>64</v>
      </c>
      <c r="L102">
        <v>2</v>
      </c>
      <c r="M102">
        <v>7.49</v>
      </c>
      <c r="N102">
        <v>1.8471999999999991</v>
      </c>
      <c r="O102" s="3">
        <v>45782</v>
      </c>
    </row>
    <row r="103" spans="1:15" x14ac:dyDescent="0.25">
      <c r="A103" t="s">
        <v>57</v>
      </c>
      <c r="B103" t="s">
        <v>16</v>
      </c>
      <c r="C103">
        <v>1.116565884388889</v>
      </c>
      <c r="D103" t="s">
        <v>28</v>
      </c>
      <c r="E103" t="s">
        <v>58</v>
      </c>
      <c r="F103" t="s">
        <v>19</v>
      </c>
      <c r="G103" s="2">
        <v>45782</v>
      </c>
      <c r="H103" t="s">
        <v>59</v>
      </c>
      <c r="I103" t="s">
        <v>59</v>
      </c>
      <c r="J103">
        <v>9.3110999999999997</v>
      </c>
      <c r="K103" t="s">
        <v>60</v>
      </c>
      <c r="L103">
        <v>2</v>
      </c>
      <c r="M103">
        <v>7.49</v>
      </c>
      <c r="N103">
        <v>1.8210999999999991</v>
      </c>
      <c r="O103" s="3">
        <v>45782</v>
      </c>
    </row>
    <row r="104" spans="1:15" x14ac:dyDescent="0.25">
      <c r="A104" t="s">
        <v>61</v>
      </c>
      <c r="B104" t="s">
        <v>16</v>
      </c>
      <c r="C104">
        <v>33.074647425972223</v>
      </c>
      <c r="D104" t="s">
        <v>28</v>
      </c>
      <c r="E104" t="s">
        <v>62</v>
      </c>
      <c r="F104" t="s">
        <v>19</v>
      </c>
      <c r="G104" s="2">
        <v>45782</v>
      </c>
      <c r="H104" t="s">
        <v>63</v>
      </c>
      <c r="I104" t="s">
        <v>63</v>
      </c>
      <c r="J104">
        <v>9.3371999999999993</v>
      </c>
      <c r="K104" t="s">
        <v>64</v>
      </c>
      <c r="L104">
        <v>2</v>
      </c>
      <c r="M104">
        <v>7.49</v>
      </c>
      <c r="N104">
        <v>1.8471999999999991</v>
      </c>
      <c r="O104" s="3">
        <v>45782</v>
      </c>
    </row>
    <row r="105" spans="1:15" x14ac:dyDescent="0.25">
      <c r="A105" t="s">
        <v>54</v>
      </c>
      <c r="B105" t="s">
        <v>16</v>
      </c>
      <c r="C105">
        <v>0.63819865000000009</v>
      </c>
      <c r="D105" t="s">
        <v>28</v>
      </c>
      <c r="E105" t="s">
        <v>40</v>
      </c>
      <c r="F105" t="s">
        <v>19</v>
      </c>
      <c r="G105" s="2">
        <v>45782</v>
      </c>
      <c r="H105" t="s">
        <v>55</v>
      </c>
      <c r="I105" t="s">
        <v>55</v>
      </c>
      <c r="J105">
        <v>8.2566000000000006</v>
      </c>
      <c r="K105" t="s">
        <v>56</v>
      </c>
      <c r="L105">
        <v>2</v>
      </c>
      <c r="M105">
        <v>7.49</v>
      </c>
      <c r="N105">
        <v>0.76660000000000039</v>
      </c>
      <c r="O105" s="3">
        <v>45782</v>
      </c>
    </row>
    <row r="106" spans="1:15" x14ac:dyDescent="0.25">
      <c r="A106" t="s">
        <v>61</v>
      </c>
      <c r="B106" t="s">
        <v>16</v>
      </c>
      <c r="C106">
        <v>1013.996215903492</v>
      </c>
      <c r="D106" t="s">
        <v>28</v>
      </c>
      <c r="E106" t="s">
        <v>62</v>
      </c>
      <c r="F106" t="s">
        <v>19</v>
      </c>
      <c r="G106" s="2">
        <v>45782</v>
      </c>
      <c r="H106" t="s">
        <v>63</v>
      </c>
      <c r="I106" t="s">
        <v>63</v>
      </c>
      <c r="J106">
        <v>9.3371999999999993</v>
      </c>
      <c r="K106" t="s">
        <v>64</v>
      </c>
      <c r="L106">
        <v>2</v>
      </c>
      <c r="M106">
        <v>7.49</v>
      </c>
      <c r="N106">
        <v>1.8471999999999991</v>
      </c>
      <c r="O106" s="3">
        <v>45782</v>
      </c>
    </row>
    <row r="107" spans="1:15" x14ac:dyDescent="0.25">
      <c r="A107" t="s">
        <v>39</v>
      </c>
      <c r="B107" t="s">
        <v>16</v>
      </c>
      <c r="C107">
        <v>6.9292057001650793</v>
      </c>
      <c r="D107" t="s">
        <v>28</v>
      </c>
      <c r="E107" t="s">
        <v>40</v>
      </c>
      <c r="F107" t="s">
        <v>19</v>
      </c>
      <c r="G107" s="2">
        <v>45782</v>
      </c>
      <c r="H107" t="s">
        <v>41</v>
      </c>
      <c r="I107" t="s">
        <v>41</v>
      </c>
      <c r="J107">
        <v>9.9582999999999995</v>
      </c>
      <c r="K107" t="s">
        <v>42</v>
      </c>
      <c r="L107">
        <v>2</v>
      </c>
      <c r="M107">
        <v>7.49</v>
      </c>
      <c r="N107">
        <v>2.4682999999999988</v>
      </c>
      <c r="O107" s="3">
        <v>45782</v>
      </c>
    </row>
    <row r="108" spans="1:15" x14ac:dyDescent="0.25">
      <c r="A108" t="s">
        <v>61</v>
      </c>
      <c r="B108" t="s">
        <v>16</v>
      </c>
      <c r="C108">
        <v>36.383028450293651</v>
      </c>
      <c r="D108" t="s">
        <v>28</v>
      </c>
      <c r="E108" t="s">
        <v>62</v>
      </c>
      <c r="F108" t="s">
        <v>19</v>
      </c>
      <c r="G108" s="2">
        <v>45782</v>
      </c>
      <c r="H108" t="s">
        <v>63</v>
      </c>
      <c r="I108" t="s">
        <v>63</v>
      </c>
      <c r="J108">
        <v>9.3371999999999993</v>
      </c>
      <c r="K108" t="s">
        <v>64</v>
      </c>
      <c r="L108">
        <v>2</v>
      </c>
      <c r="M108">
        <v>7.49</v>
      </c>
      <c r="N108">
        <v>1.8471999999999991</v>
      </c>
      <c r="O108" s="3">
        <v>45782</v>
      </c>
    </row>
    <row r="109" spans="1:15" x14ac:dyDescent="0.25">
      <c r="A109" t="s">
        <v>39</v>
      </c>
      <c r="B109" t="s">
        <v>16</v>
      </c>
      <c r="C109">
        <v>96.807198612317464</v>
      </c>
      <c r="D109" t="s">
        <v>28</v>
      </c>
      <c r="E109" t="s">
        <v>40</v>
      </c>
      <c r="F109" t="s">
        <v>19</v>
      </c>
      <c r="G109" s="2">
        <v>45782</v>
      </c>
      <c r="H109" t="s">
        <v>41</v>
      </c>
      <c r="I109" t="s">
        <v>41</v>
      </c>
      <c r="J109">
        <v>9.9582999999999995</v>
      </c>
      <c r="K109" t="s">
        <v>42</v>
      </c>
      <c r="L109">
        <v>2</v>
      </c>
      <c r="M109">
        <v>7.49</v>
      </c>
      <c r="N109">
        <v>2.4682999999999988</v>
      </c>
      <c r="O109" s="3">
        <v>45782</v>
      </c>
    </row>
    <row r="110" spans="1:15" x14ac:dyDescent="0.25">
      <c r="A110" t="s">
        <v>57</v>
      </c>
      <c r="B110" t="s">
        <v>16</v>
      </c>
      <c r="C110">
        <v>10.40601879005556</v>
      </c>
      <c r="D110" t="s">
        <v>28</v>
      </c>
      <c r="E110" t="s">
        <v>58</v>
      </c>
      <c r="F110" t="s">
        <v>19</v>
      </c>
      <c r="G110" s="2">
        <v>45782</v>
      </c>
      <c r="H110" t="s">
        <v>59</v>
      </c>
      <c r="I110" t="s">
        <v>59</v>
      </c>
      <c r="J110">
        <v>9.3110999999999997</v>
      </c>
      <c r="K110" t="s">
        <v>60</v>
      </c>
      <c r="L110">
        <v>2</v>
      </c>
      <c r="M110">
        <v>7.49</v>
      </c>
      <c r="N110">
        <v>1.8210999999999991</v>
      </c>
      <c r="O110" s="3">
        <v>45782</v>
      </c>
    </row>
    <row r="111" spans="1:15" x14ac:dyDescent="0.25">
      <c r="A111" t="s">
        <v>57</v>
      </c>
      <c r="B111" t="s">
        <v>16</v>
      </c>
      <c r="C111">
        <v>275.70009212646443</v>
      </c>
      <c r="D111" t="s">
        <v>28</v>
      </c>
      <c r="E111" t="s">
        <v>58</v>
      </c>
      <c r="F111" t="s">
        <v>19</v>
      </c>
      <c r="G111" s="2">
        <v>45782</v>
      </c>
      <c r="H111" t="s">
        <v>59</v>
      </c>
      <c r="I111" t="s">
        <v>59</v>
      </c>
      <c r="J111">
        <v>9.3110999999999997</v>
      </c>
      <c r="K111" t="s">
        <v>60</v>
      </c>
      <c r="L111">
        <v>2</v>
      </c>
      <c r="M111">
        <v>7.49</v>
      </c>
      <c r="N111">
        <v>1.8210999999999991</v>
      </c>
      <c r="O111" s="3">
        <v>45782</v>
      </c>
    </row>
    <row r="112" spans="1:15" x14ac:dyDescent="0.25">
      <c r="A112" t="s">
        <v>39</v>
      </c>
      <c r="B112" t="s">
        <v>16</v>
      </c>
      <c r="C112">
        <v>3.0161161329000001</v>
      </c>
      <c r="D112" t="s">
        <v>28</v>
      </c>
      <c r="E112" t="s">
        <v>40</v>
      </c>
      <c r="F112" t="s">
        <v>19</v>
      </c>
      <c r="G112" s="2">
        <v>45782</v>
      </c>
      <c r="H112" t="s">
        <v>41</v>
      </c>
      <c r="I112" t="s">
        <v>41</v>
      </c>
      <c r="J112">
        <v>9.9582999999999995</v>
      </c>
      <c r="K112" t="s">
        <v>42</v>
      </c>
      <c r="L112">
        <v>2</v>
      </c>
      <c r="M112">
        <v>7.49</v>
      </c>
      <c r="N112">
        <v>2.4682999999999988</v>
      </c>
      <c r="O112" s="3">
        <v>45782</v>
      </c>
    </row>
    <row r="113" spans="1:15" x14ac:dyDescent="0.25">
      <c r="A113" t="s">
        <v>57</v>
      </c>
      <c r="B113" t="s">
        <v>16</v>
      </c>
      <c r="C113">
        <v>290.49299832182538</v>
      </c>
      <c r="D113" t="s">
        <v>28</v>
      </c>
      <c r="E113" t="s">
        <v>58</v>
      </c>
      <c r="F113" t="s">
        <v>19</v>
      </c>
      <c r="G113" s="2">
        <v>45782</v>
      </c>
      <c r="H113" t="s">
        <v>59</v>
      </c>
      <c r="I113" t="s">
        <v>59</v>
      </c>
      <c r="J113">
        <v>9.3110999999999997</v>
      </c>
      <c r="K113" t="s">
        <v>60</v>
      </c>
      <c r="L113">
        <v>2</v>
      </c>
      <c r="M113">
        <v>7.49</v>
      </c>
      <c r="N113">
        <v>1.8210999999999991</v>
      </c>
      <c r="O113" s="3">
        <v>45782</v>
      </c>
    </row>
    <row r="114" spans="1:15" x14ac:dyDescent="0.25">
      <c r="A114" t="s">
        <v>57</v>
      </c>
      <c r="B114" t="s">
        <v>16</v>
      </c>
      <c r="C114">
        <v>15.47894960359524</v>
      </c>
      <c r="D114" t="s">
        <v>28</v>
      </c>
      <c r="E114" t="s">
        <v>58</v>
      </c>
      <c r="F114" t="s">
        <v>19</v>
      </c>
      <c r="G114" s="2">
        <v>45782</v>
      </c>
      <c r="H114" t="s">
        <v>59</v>
      </c>
      <c r="I114" t="s">
        <v>59</v>
      </c>
      <c r="J114">
        <v>9.3110999999999997</v>
      </c>
      <c r="K114" t="s">
        <v>60</v>
      </c>
      <c r="L114">
        <v>2</v>
      </c>
      <c r="M114">
        <v>7.49</v>
      </c>
      <c r="N114">
        <v>1.8210999999999991</v>
      </c>
      <c r="O114" s="3">
        <v>45782</v>
      </c>
    </row>
    <row r="115" spans="1:15" x14ac:dyDescent="0.25">
      <c r="A115" t="s">
        <v>65</v>
      </c>
      <c r="B115" t="s">
        <v>16</v>
      </c>
      <c r="C115">
        <v>2.6366987752000002</v>
      </c>
      <c r="D115" t="s">
        <v>28</v>
      </c>
      <c r="E115" t="s">
        <v>66</v>
      </c>
      <c r="F115" t="s">
        <v>19</v>
      </c>
      <c r="G115" s="2">
        <v>45782</v>
      </c>
      <c r="H115" t="s">
        <v>67</v>
      </c>
      <c r="I115" t="s">
        <v>67</v>
      </c>
      <c r="J115">
        <v>7.6345999999999998</v>
      </c>
      <c r="K115" t="s">
        <v>68</v>
      </c>
      <c r="L115">
        <v>2</v>
      </c>
      <c r="M115">
        <v>7.49</v>
      </c>
      <c r="N115">
        <v>0.14459999999999959</v>
      </c>
      <c r="O115" s="3">
        <v>45782</v>
      </c>
    </row>
    <row r="116" spans="1:15" x14ac:dyDescent="0.25">
      <c r="A116" t="s">
        <v>65</v>
      </c>
      <c r="B116" t="s">
        <v>16</v>
      </c>
      <c r="C116">
        <v>97.140237393409549</v>
      </c>
      <c r="D116" t="s">
        <v>28</v>
      </c>
      <c r="E116" t="s">
        <v>66</v>
      </c>
      <c r="F116" t="s">
        <v>19</v>
      </c>
      <c r="G116" s="2">
        <v>45782</v>
      </c>
      <c r="H116" t="s">
        <v>67</v>
      </c>
      <c r="I116" t="s">
        <v>67</v>
      </c>
      <c r="J116">
        <v>7.6345999999999998</v>
      </c>
      <c r="K116" t="s">
        <v>68</v>
      </c>
      <c r="L116">
        <v>2</v>
      </c>
      <c r="M116">
        <v>7.49</v>
      </c>
      <c r="N116">
        <v>0.14459999999999959</v>
      </c>
      <c r="O116" s="3">
        <v>45782</v>
      </c>
    </row>
    <row r="117" spans="1:15" x14ac:dyDescent="0.25">
      <c r="A117" t="s">
        <v>39</v>
      </c>
      <c r="B117" t="s">
        <v>16</v>
      </c>
      <c r="C117">
        <v>5.404053832552381</v>
      </c>
      <c r="D117" t="s">
        <v>28</v>
      </c>
      <c r="E117" t="s">
        <v>40</v>
      </c>
      <c r="F117" t="s">
        <v>19</v>
      </c>
      <c r="G117" s="2">
        <v>45782</v>
      </c>
      <c r="H117" t="s">
        <v>41</v>
      </c>
      <c r="I117" t="s">
        <v>41</v>
      </c>
      <c r="J117">
        <v>9.9582999999999995</v>
      </c>
      <c r="K117" t="s">
        <v>42</v>
      </c>
      <c r="L117">
        <v>2</v>
      </c>
      <c r="M117">
        <v>7.49</v>
      </c>
      <c r="N117">
        <v>2.4682999999999988</v>
      </c>
      <c r="O117" s="3">
        <v>45782</v>
      </c>
    </row>
    <row r="118" spans="1:15" x14ac:dyDescent="0.25">
      <c r="A118" t="s">
        <v>39</v>
      </c>
      <c r="B118" t="s">
        <v>16</v>
      </c>
      <c r="C118">
        <v>102.1799939772159</v>
      </c>
      <c r="D118" t="s">
        <v>28</v>
      </c>
      <c r="E118" t="s">
        <v>40</v>
      </c>
      <c r="F118" t="s">
        <v>19</v>
      </c>
      <c r="G118" s="2">
        <v>45782</v>
      </c>
      <c r="H118" t="s">
        <v>41</v>
      </c>
      <c r="I118" t="s">
        <v>41</v>
      </c>
      <c r="J118">
        <v>9.9582999999999995</v>
      </c>
      <c r="K118" t="s">
        <v>42</v>
      </c>
      <c r="L118">
        <v>2</v>
      </c>
      <c r="M118">
        <v>7.49</v>
      </c>
      <c r="N118">
        <v>2.4682999999999988</v>
      </c>
      <c r="O118" s="3">
        <v>45782</v>
      </c>
    </row>
    <row r="119" spans="1:15" x14ac:dyDescent="0.25">
      <c r="A119" t="s">
        <v>57</v>
      </c>
      <c r="B119" t="s">
        <v>16</v>
      </c>
      <c r="C119">
        <v>12.89810100411111</v>
      </c>
      <c r="D119" t="s">
        <v>28</v>
      </c>
      <c r="E119" t="s">
        <v>58</v>
      </c>
      <c r="F119" t="s">
        <v>19</v>
      </c>
      <c r="G119" s="2">
        <v>45782</v>
      </c>
      <c r="H119" t="s">
        <v>59</v>
      </c>
      <c r="I119" t="s">
        <v>59</v>
      </c>
      <c r="J119">
        <v>9.3110999999999997</v>
      </c>
      <c r="K119" t="s">
        <v>60</v>
      </c>
      <c r="L119">
        <v>2</v>
      </c>
      <c r="M119">
        <v>7.49</v>
      </c>
      <c r="N119">
        <v>1.8210999999999991</v>
      </c>
      <c r="O119" s="3">
        <v>45782</v>
      </c>
    </row>
    <row r="120" spans="1:15" x14ac:dyDescent="0.25">
      <c r="A120" t="s">
        <v>57</v>
      </c>
      <c r="B120" t="s">
        <v>16</v>
      </c>
      <c r="C120">
        <v>14.13510889266667</v>
      </c>
      <c r="D120" t="s">
        <v>28</v>
      </c>
      <c r="E120" t="s">
        <v>58</v>
      </c>
      <c r="F120" t="s">
        <v>19</v>
      </c>
      <c r="G120" s="2">
        <v>45782</v>
      </c>
      <c r="H120" t="s">
        <v>59</v>
      </c>
      <c r="I120" t="s">
        <v>59</v>
      </c>
      <c r="J120">
        <v>9.3110999999999997</v>
      </c>
      <c r="K120" t="s">
        <v>60</v>
      </c>
      <c r="L120">
        <v>2</v>
      </c>
      <c r="M120">
        <v>7.49</v>
      </c>
      <c r="N120">
        <v>1.8210999999999991</v>
      </c>
      <c r="O120" s="3">
        <v>45782</v>
      </c>
    </row>
    <row r="121" spans="1:15" x14ac:dyDescent="0.25">
      <c r="A121" t="s">
        <v>65</v>
      </c>
      <c r="B121" t="s">
        <v>16</v>
      </c>
      <c r="C121">
        <v>0.94290290796428577</v>
      </c>
      <c r="D121" t="s">
        <v>28</v>
      </c>
      <c r="E121" t="s">
        <v>66</v>
      </c>
      <c r="F121" t="s">
        <v>19</v>
      </c>
      <c r="G121" s="2">
        <v>45782</v>
      </c>
      <c r="H121" t="s">
        <v>67</v>
      </c>
      <c r="I121" t="s">
        <v>67</v>
      </c>
      <c r="J121">
        <v>7.6345999999999998</v>
      </c>
      <c r="K121" t="s">
        <v>68</v>
      </c>
      <c r="L121">
        <v>2</v>
      </c>
      <c r="M121">
        <v>7.49</v>
      </c>
      <c r="N121">
        <v>0.14459999999999959</v>
      </c>
      <c r="O121" s="3">
        <v>45782</v>
      </c>
    </row>
    <row r="122" spans="1:15" x14ac:dyDescent="0.25">
      <c r="A122" t="s">
        <v>65</v>
      </c>
      <c r="B122" t="s">
        <v>16</v>
      </c>
      <c r="C122">
        <v>1.8446294150071429</v>
      </c>
      <c r="D122" t="s">
        <v>28</v>
      </c>
      <c r="E122" t="s">
        <v>66</v>
      </c>
      <c r="F122" t="s">
        <v>19</v>
      </c>
      <c r="G122" s="2">
        <v>45782</v>
      </c>
      <c r="H122" t="s">
        <v>67</v>
      </c>
      <c r="I122" t="s">
        <v>67</v>
      </c>
      <c r="J122">
        <v>7.6345999999999998</v>
      </c>
      <c r="K122" t="s">
        <v>68</v>
      </c>
      <c r="L122">
        <v>2</v>
      </c>
      <c r="M122">
        <v>7.49</v>
      </c>
      <c r="N122">
        <v>0.14459999999999959</v>
      </c>
      <c r="O122" s="3">
        <v>45782</v>
      </c>
    </row>
    <row r="123" spans="1:15" x14ac:dyDescent="0.25">
      <c r="A123" t="s">
        <v>65</v>
      </c>
      <c r="B123" t="s">
        <v>16</v>
      </c>
      <c r="C123">
        <v>2.7598109830476192</v>
      </c>
      <c r="D123" t="s">
        <v>28</v>
      </c>
      <c r="E123" t="s">
        <v>66</v>
      </c>
      <c r="F123" t="s">
        <v>19</v>
      </c>
      <c r="G123" s="2">
        <v>45782</v>
      </c>
      <c r="H123" t="s">
        <v>67</v>
      </c>
      <c r="I123" t="s">
        <v>67</v>
      </c>
      <c r="J123">
        <v>7.6345999999999998</v>
      </c>
      <c r="K123" t="s">
        <v>68</v>
      </c>
      <c r="L123">
        <v>2</v>
      </c>
      <c r="M123">
        <v>7.49</v>
      </c>
      <c r="N123">
        <v>0.14459999999999959</v>
      </c>
      <c r="O123" s="3">
        <v>45782</v>
      </c>
    </row>
    <row r="124" spans="1:15" x14ac:dyDescent="0.25">
      <c r="A124" t="s">
        <v>57</v>
      </c>
      <c r="B124" t="s">
        <v>16</v>
      </c>
      <c r="C124">
        <v>18.136173687896829</v>
      </c>
      <c r="D124" t="s">
        <v>28</v>
      </c>
      <c r="E124" t="s">
        <v>58</v>
      </c>
      <c r="F124" t="s">
        <v>19</v>
      </c>
      <c r="G124" s="2">
        <v>45782</v>
      </c>
      <c r="H124" t="s">
        <v>59</v>
      </c>
      <c r="I124" t="s">
        <v>59</v>
      </c>
      <c r="J124">
        <v>9.3110999999999997</v>
      </c>
      <c r="K124" t="s">
        <v>60</v>
      </c>
      <c r="L124">
        <v>2</v>
      </c>
      <c r="M124">
        <v>7.49</v>
      </c>
      <c r="N124">
        <v>1.8210999999999991</v>
      </c>
      <c r="O124" s="3">
        <v>45782</v>
      </c>
    </row>
    <row r="125" spans="1:15" x14ac:dyDescent="0.25">
      <c r="A125" t="s">
        <v>65</v>
      </c>
      <c r="B125" t="s">
        <v>16</v>
      </c>
      <c r="C125">
        <v>3.473695782209524</v>
      </c>
      <c r="D125" t="s">
        <v>28</v>
      </c>
      <c r="E125" t="s">
        <v>66</v>
      </c>
      <c r="F125" t="s">
        <v>19</v>
      </c>
      <c r="G125" s="2">
        <v>45782</v>
      </c>
      <c r="H125" t="s">
        <v>67</v>
      </c>
      <c r="I125" t="s">
        <v>67</v>
      </c>
      <c r="J125">
        <v>7.6345999999999998</v>
      </c>
      <c r="K125" t="s">
        <v>68</v>
      </c>
      <c r="L125">
        <v>2</v>
      </c>
      <c r="M125">
        <v>7.49</v>
      </c>
      <c r="N125">
        <v>0.14459999999999959</v>
      </c>
      <c r="O125" s="3">
        <v>45782</v>
      </c>
    </row>
    <row r="126" spans="1:15" x14ac:dyDescent="0.25">
      <c r="A126" t="s">
        <v>65</v>
      </c>
      <c r="B126" t="s">
        <v>16</v>
      </c>
      <c r="C126">
        <v>6.027480861380953</v>
      </c>
      <c r="D126" t="s">
        <v>28</v>
      </c>
      <c r="E126" t="s">
        <v>66</v>
      </c>
      <c r="F126" t="s">
        <v>19</v>
      </c>
      <c r="G126" s="2">
        <v>45782</v>
      </c>
      <c r="H126" t="s">
        <v>67</v>
      </c>
      <c r="I126" t="s">
        <v>67</v>
      </c>
      <c r="J126">
        <v>7.6345999999999998</v>
      </c>
      <c r="K126" t="s">
        <v>68</v>
      </c>
      <c r="L126">
        <v>2</v>
      </c>
      <c r="M126">
        <v>7.49</v>
      </c>
      <c r="N126">
        <v>0.14459999999999959</v>
      </c>
      <c r="O126" s="3">
        <v>45782</v>
      </c>
    </row>
    <row r="127" spans="1:15" x14ac:dyDescent="0.25">
      <c r="A127" t="s">
        <v>65</v>
      </c>
      <c r="B127" t="s">
        <v>16</v>
      </c>
      <c r="C127">
        <v>82.010163712714288</v>
      </c>
      <c r="D127" t="s">
        <v>28</v>
      </c>
      <c r="E127" t="s">
        <v>66</v>
      </c>
      <c r="F127" t="s">
        <v>19</v>
      </c>
      <c r="G127" s="2">
        <v>45782</v>
      </c>
      <c r="H127" t="s">
        <v>67</v>
      </c>
      <c r="I127" t="s">
        <v>67</v>
      </c>
      <c r="J127">
        <v>7.6345999999999998</v>
      </c>
      <c r="K127" t="s">
        <v>68</v>
      </c>
      <c r="L127">
        <v>2</v>
      </c>
      <c r="M127">
        <v>7.49</v>
      </c>
      <c r="N127">
        <v>0.14459999999999959</v>
      </c>
      <c r="O127" s="3">
        <v>45782</v>
      </c>
    </row>
    <row r="128" spans="1:15" x14ac:dyDescent="0.25">
      <c r="A128" t="s">
        <v>65</v>
      </c>
      <c r="B128" t="s">
        <v>16</v>
      </c>
      <c r="C128">
        <v>4.7171801236095243</v>
      </c>
      <c r="D128" t="s">
        <v>28</v>
      </c>
      <c r="E128" t="s">
        <v>66</v>
      </c>
      <c r="F128" t="s">
        <v>19</v>
      </c>
      <c r="G128" s="2">
        <v>45782</v>
      </c>
      <c r="H128" t="s">
        <v>67</v>
      </c>
      <c r="I128" t="s">
        <v>67</v>
      </c>
      <c r="J128">
        <v>7.6345999999999998</v>
      </c>
      <c r="K128" t="s">
        <v>68</v>
      </c>
      <c r="L128">
        <v>2</v>
      </c>
      <c r="M128">
        <v>7.49</v>
      </c>
      <c r="N128">
        <v>0.14459999999999959</v>
      </c>
      <c r="O128" s="3">
        <v>45782</v>
      </c>
    </row>
    <row r="129" spans="1:15" x14ac:dyDescent="0.25">
      <c r="A129" t="s">
        <v>65</v>
      </c>
      <c r="B129" t="s">
        <v>16</v>
      </c>
      <c r="C129">
        <v>90.901460474500013</v>
      </c>
      <c r="D129" t="s">
        <v>28</v>
      </c>
      <c r="E129" t="s">
        <v>66</v>
      </c>
      <c r="F129" t="s">
        <v>19</v>
      </c>
      <c r="G129" s="2">
        <v>45782</v>
      </c>
      <c r="H129" t="s">
        <v>67</v>
      </c>
      <c r="I129" t="s">
        <v>67</v>
      </c>
      <c r="J129">
        <v>7.6345999999999998</v>
      </c>
      <c r="K129" t="s">
        <v>68</v>
      </c>
      <c r="L129">
        <v>2</v>
      </c>
      <c r="M129">
        <v>7.49</v>
      </c>
      <c r="N129">
        <v>0.14459999999999959</v>
      </c>
      <c r="O129" s="3">
        <v>45782</v>
      </c>
    </row>
    <row r="130" spans="1:15" x14ac:dyDescent="0.25">
      <c r="A130" t="s">
        <v>65</v>
      </c>
      <c r="B130" t="s">
        <v>16</v>
      </c>
      <c r="C130">
        <v>4.3576025929285729</v>
      </c>
      <c r="D130" t="s">
        <v>28</v>
      </c>
      <c r="E130" t="s">
        <v>66</v>
      </c>
      <c r="F130" t="s">
        <v>19</v>
      </c>
      <c r="G130" s="2">
        <v>45782</v>
      </c>
      <c r="H130" t="s">
        <v>67</v>
      </c>
      <c r="I130" t="s">
        <v>67</v>
      </c>
      <c r="J130">
        <v>7.6345999999999998</v>
      </c>
      <c r="K130" t="s">
        <v>68</v>
      </c>
      <c r="L130">
        <v>2</v>
      </c>
      <c r="M130">
        <v>7.49</v>
      </c>
      <c r="N130">
        <v>0.14459999999999959</v>
      </c>
      <c r="O130" s="3">
        <v>45782</v>
      </c>
    </row>
    <row r="131" spans="1:15" x14ac:dyDescent="0.25">
      <c r="A131" t="s">
        <v>57</v>
      </c>
      <c r="B131" t="s">
        <v>16</v>
      </c>
      <c r="C131">
        <v>17.087904718817459</v>
      </c>
      <c r="D131" t="s">
        <v>28</v>
      </c>
      <c r="E131" t="s">
        <v>58</v>
      </c>
      <c r="F131" t="s">
        <v>19</v>
      </c>
      <c r="G131" s="2">
        <v>45782</v>
      </c>
      <c r="H131" t="s">
        <v>59</v>
      </c>
      <c r="I131" t="s">
        <v>59</v>
      </c>
      <c r="J131">
        <v>9.3110999999999997</v>
      </c>
      <c r="K131" t="s">
        <v>60</v>
      </c>
      <c r="L131">
        <v>2</v>
      </c>
      <c r="M131">
        <v>7.49</v>
      </c>
      <c r="N131">
        <v>1.8210999999999991</v>
      </c>
      <c r="O131" s="3">
        <v>45782</v>
      </c>
    </row>
    <row r="132" spans="1:15" x14ac:dyDescent="0.25">
      <c r="A132" t="s">
        <v>65</v>
      </c>
      <c r="B132" t="s">
        <v>16</v>
      </c>
      <c r="C132">
        <v>5.0203086202285716</v>
      </c>
      <c r="D132" t="s">
        <v>28</v>
      </c>
      <c r="E132" t="s">
        <v>66</v>
      </c>
      <c r="F132" t="s">
        <v>19</v>
      </c>
      <c r="G132" s="2">
        <v>45782</v>
      </c>
      <c r="H132" t="s">
        <v>67</v>
      </c>
      <c r="I132" t="s">
        <v>67</v>
      </c>
      <c r="J132">
        <v>7.6345999999999998</v>
      </c>
      <c r="K132" t="s">
        <v>68</v>
      </c>
      <c r="L132">
        <v>2</v>
      </c>
      <c r="M132">
        <v>7.49</v>
      </c>
      <c r="N132">
        <v>0.14459999999999959</v>
      </c>
      <c r="O132" s="3">
        <v>45782</v>
      </c>
    </row>
    <row r="133" spans="1:15" x14ac:dyDescent="0.25">
      <c r="A133" t="s">
        <v>65</v>
      </c>
      <c r="B133" t="s">
        <v>16</v>
      </c>
      <c r="C133">
        <v>5.6113744009714281</v>
      </c>
      <c r="D133" t="s">
        <v>28</v>
      </c>
      <c r="E133" t="s">
        <v>66</v>
      </c>
      <c r="F133" t="s">
        <v>19</v>
      </c>
      <c r="G133" s="2">
        <v>45782</v>
      </c>
      <c r="H133" t="s">
        <v>67</v>
      </c>
      <c r="I133" t="s">
        <v>67</v>
      </c>
      <c r="J133">
        <v>7.6345999999999998</v>
      </c>
      <c r="K133" t="s">
        <v>68</v>
      </c>
      <c r="L133">
        <v>2</v>
      </c>
      <c r="M133">
        <v>7.49</v>
      </c>
      <c r="N133">
        <v>0.14459999999999959</v>
      </c>
      <c r="O133" s="3">
        <v>45782</v>
      </c>
    </row>
    <row r="134" spans="1:15" x14ac:dyDescent="0.25">
      <c r="A134" t="s">
        <v>50</v>
      </c>
      <c r="B134" t="s">
        <v>16</v>
      </c>
      <c r="C134">
        <v>27.217002826297609</v>
      </c>
      <c r="D134" t="s">
        <v>28</v>
      </c>
      <c r="E134" t="s">
        <v>51</v>
      </c>
      <c r="F134" t="s">
        <v>19</v>
      </c>
      <c r="G134" s="2">
        <v>45782</v>
      </c>
      <c r="H134" t="s">
        <v>52</v>
      </c>
      <c r="I134" t="s">
        <v>52</v>
      </c>
      <c r="J134">
        <v>12.620100000000001</v>
      </c>
      <c r="K134" t="s">
        <v>53</v>
      </c>
      <c r="L134">
        <v>2</v>
      </c>
      <c r="M134">
        <v>7.49</v>
      </c>
      <c r="N134">
        <v>5.1301000000000014</v>
      </c>
      <c r="O134" s="3">
        <v>45782</v>
      </c>
    </row>
    <row r="135" spans="1:15" x14ac:dyDescent="0.25">
      <c r="A135" t="s">
        <v>69</v>
      </c>
      <c r="B135" t="s">
        <v>16</v>
      </c>
      <c r="C135">
        <v>14.93708132295556</v>
      </c>
      <c r="D135" t="s">
        <v>28</v>
      </c>
      <c r="E135" t="s">
        <v>58</v>
      </c>
      <c r="F135" t="s">
        <v>19</v>
      </c>
      <c r="G135" s="2">
        <v>45782</v>
      </c>
      <c r="H135" t="s">
        <v>70</v>
      </c>
      <c r="I135" t="s">
        <v>70</v>
      </c>
      <c r="J135">
        <v>8.2459000000000007</v>
      </c>
      <c r="K135" t="s">
        <v>71</v>
      </c>
      <c r="L135">
        <v>2</v>
      </c>
      <c r="M135">
        <v>7.49</v>
      </c>
      <c r="N135">
        <v>0.75590000000000046</v>
      </c>
      <c r="O135" s="3">
        <v>45782</v>
      </c>
    </row>
    <row r="136" spans="1:15" x14ac:dyDescent="0.25">
      <c r="A136" t="s">
        <v>72</v>
      </c>
      <c r="B136" t="s">
        <v>16</v>
      </c>
      <c r="C136">
        <v>20.43070720336905</v>
      </c>
      <c r="D136" t="s">
        <v>28</v>
      </c>
      <c r="E136" t="s">
        <v>33</v>
      </c>
      <c r="F136" t="s">
        <v>19</v>
      </c>
      <c r="G136" s="2">
        <v>45782</v>
      </c>
      <c r="H136" t="s">
        <v>73</v>
      </c>
      <c r="I136" t="s">
        <v>73</v>
      </c>
      <c r="J136">
        <v>7.5804</v>
      </c>
      <c r="K136" t="s">
        <v>74</v>
      </c>
      <c r="L136">
        <v>2</v>
      </c>
      <c r="M136">
        <v>7.49</v>
      </c>
      <c r="N136">
        <v>9.0399999999999814E-2</v>
      </c>
      <c r="O136" s="3">
        <v>45782</v>
      </c>
    </row>
    <row r="137" spans="1:15" x14ac:dyDescent="0.25">
      <c r="A137" t="s">
        <v>69</v>
      </c>
      <c r="B137" t="s">
        <v>16</v>
      </c>
      <c r="C137">
        <v>10.69099194339722</v>
      </c>
      <c r="D137" t="s">
        <v>28</v>
      </c>
      <c r="E137" t="s">
        <v>58</v>
      </c>
      <c r="F137" t="s">
        <v>19</v>
      </c>
      <c r="G137" s="2">
        <v>45782</v>
      </c>
      <c r="H137" t="s">
        <v>70</v>
      </c>
      <c r="I137" t="s">
        <v>70</v>
      </c>
      <c r="J137">
        <v>8.2459000000000007</v>
      </c>
      <c r="K137" t="s">
        <v>71</v>
      </c>
      <c r="L137">
        <v>2</v>
      </c>
      <c r="M137">
        <v>7.49</v>
      </c>
      <c r="N137">
        <v>0.75590000000000046</v>
      </c>
      <c r="O137" s="3">
        <v>45782</v>
      </c>
    </row>
    <row r="138" spans="1:15" x14ac:dyDescent="0.25">
      <c r="A138" t="s">
        <v>69</v>
      </c>
      <c r="B138" t="s">
        <v>16</v>
      </c>
      <c r="C138">
        <v>18.23994553711071</v>
      </c>
      <c r="D138" t="s">
        <v>28</v>
      </c>
      <c r="E138" t="s">
        <v>58</v>
      </c>
      <c r="F138" t="s">
        <v>19</v>
      </c>
      <c r="G138" s="2">
        <v>45782</v>
      </c>
      <c r="H138" t="s">
        <v>70</v>
      </c>
      <c r="I138" t="s">
        <v>70</v>
      </c>
      <c r="J138">
        <v>8.2459000000000007</v>
      </c>
      <c r="K138" t="s">
        <v>71</v>
      </c>
      <c r="L138">
        <v>2</v>
      </c>
      <c r="M138">
        <v>7.49</v>
      </c>
      <c r="N138">
        <v>0.75590000000000046</v>
      </c>
      <c r="O138" s="3">
        <v>45782</v>
      </c>
    </row>
    <row r="139" spans="1:15" x14ac:dyDescent="0.25">
      <c r="A139" t="s">
        <v>69</v>
      </c>
      <c r="B139" t="s">
        <v>16</v>
      </c>
      <c r="C139">
        <v>24.557039824703569</v>
      </c>
      <c r="D139" t="s">
        <v>28</v>
      </c>
      <c r="E139" t="s">
        <v>58</v>
      </c>
      <c r="F139" t="s">
        <v>19</v>
      </c>
      <c r="G139" s="2">
        <v>45782</v>
      </c>
      <c r="H139" t="s">
        <v>70</v>
      </c>
      <c r="I139" t="s">
        <v>70</v>
      </c>
      <c r="J139">
        <v>8.2459000000000007</v>
      </c>
      <c r="K139" t="s">
        <v>71</v>
      </c>
      <c r="L139">
        <v>2</v>
      </c>
      <c r="M139">
        <v>7.49</v>
      </c>
      <c r="N139">
        <v>0.75590000000000046</v>
      </c>
      <c r="O139" s="3">
        <v>45782</v>
      </c>
    </row>
    <row r="140" spans="1:15" x14ac:dyDescent="0.25">
      <c r="A140" t="s">
        <v>69</v>
      </c>
      <c r="B140" t="s">
        <v>16</v>
      </c>
      <c r="C140">
        <v>22.29564467684445</v>
      </c>
      <c r="D140" t="s">
        <v>28</v>
      </c>
      <c r="E140" t="s">
        <v>58</v>
      </c>
      <c r="F140" t="s">
        <v>19</v>
      </c>
      <c r="G140" s="2">
        <v>45782</v>
      </c>
      <c r="H140" t="s">
        <v>70</v>
      </c>
      <c r="I140" t="s">
        <v>70</v>
      </c>
      <c r="J140">
        <v>8.2459000000000007</v>
      </c>
      <c r="K140" t="s">
        <v>71</v>
      </c>
      <c r="L140">
        <v>2</v>
      </c>
      <c r="M140">
        <v>7.49</v>
      </c>
      <c r="N140">
        <v>0.75590000000000046</v>
      </c>
      <c r="O140" s="3">
        <v>45782</v>
      </c>
    </row>
    <row r="141" spans="1:15" x14ac:dyDescent="0.25">
      <c r="A141" t="s">
        <v>72</v>
      </c>
      <c r="B141" t="s">
        <v>16</v>
      </c>
      <c r="C141">
        <v>17.568075330928568</v>
      </c>
      <c r="D141" t="s">
        <v>28</v>
      </c>
      <c r="E141" t="s">
        <v>33</v>
      </c>
      <c r="F141" t="s">
        <v>19</v>
      </c>
      <c r="G141" s="2">
        <v>45782</v>
      </c>
      <c r="H141" t="s">
        <v>73</v>
      </c>
      <c r="I141" t="s">
        <v>73</v>
      </c>
      <c r="J141">
        <v>7.5804</v>
      </c>
      <c r="K141" t="s">
        <v>74</v>
      </c>
      <c r="L141">
        <v>2</v>
      </c>
      <c r="M141">
        <v>7.49</v>
      </c>
      <c r="N141">
        <v>9.0399999999999814E-2</v>
      </c>
      <c r="O141" s="3">
        <v>45782</v>
      </c>
    </row>
    <row r="142" spans="1:15" x14ac:dyDescent="0.25">
      <c r="A142" t="s">
        <v>69</v>
      </c>
      <c r="B142" t="s">
        <v>16</v>
      </c>
      <c r="C142">
        <v>6.8961301499309533</v>
      </c>
      <c r="D142" t="s">
        <v>28</v>
      </c>
      <c r="E142" t="s">
        <v>58</v>
      </c>
      <c r="F142" t="s">
        <v>19</v>
      </c>
      <c r="G142" s="2">
        <v>45782</v>
      </c>
      <c r="H142" t="s">
        <v>70</v>
      </c>
      <c r="I142" t="s">
        <v>70</v>
      </c>
      <c r="J142">
        <v>8.2459000000000007</v>
      </c>
      <c r="K142" t="s">
        <v>71</v>
      </c>
      <c r="L142">
        <v>2</v>
      </c>
      <c r="M142">
        <v>7.49</v>
      </c>
      <c r="N142">
        <v>0.75590000000000046</v>
      </c>
      <c r="O142" s="3">
        <v>45782</v>
      </c>
    </row>
    <row r="143" spans="1:15" x14ac:dyDescent="0.25">
      <c r="A143" t="s">
        <v>50</v>
      </c>
      <c r="B143" t="s">
        <v>16</v>
      </c>
      <c r="C143">
        <v>2.4723371927924598</v>
      </c>
      <c r="D143" t="s">
        <v>28</v>
      </c>
      <c r="E143" t="s">
        <v>51</v>
      </c>
      <c r="F143" t="s">
        <v>19</v>
      </c>
      <c r="G143" s="2">
        <v>45782</v>
      </c>
      <c r="H143" t="s">
        <v>52</v>
      </c>
      <c r="I143" t="s">
        <v>52</v>
      </c>
      <c r="J143">
        <v>12.620100000000001</v>
      </c>
      <c r="K143" t="s">
        <v>53</v>
      </c>
      <c r="L143">
        <v>2</v>
      </c>
      <c r="M143">
        <v>7.49</v>
      </c>
      <c r="N143">
        <v>5.1301000000000014</v>
      </c>
      <c r="O143" s="3">
        <v>45782</v>
      </c>
    </row>
    <row r="144" spans="1:15" x14ac:dyDescent="0.25">
      <c r="A144" t="s">
        <v>69</v>
      </c>
      <c r="B144" t="s">
        <v>16</v>
      </c>
      <c r="C144">
        <v>1.8839051825805559</v>
      </c>
      <c r="D144" t="s">
        <v>28</v>
      </c>
      <c r="E144" t="s">
        <v>58</v>
      </c>
      <c r="F144" t="s">
        <v>19</v>
      </c>
      <c r="G144" s="2">
        <v>45782</v>
      </c>
      <c r="H144" t="s">
        <v>70</v>
      </c>
      <c r="I144" t="s">
        <v>70</v>
      </c>
      <c r="J144">
        <v>8.2459000000000007</v>
      </c>
      <c r="K144" t="s">
        <v>71</v>
      </c>
      <c r="L144">
        <v>2</v>
      </c>
      <c r="M144">
        <v>7.49</v>
      </c>
      <c r="N144">
        <v>0.75590000000000046</v>
      </c>
      <c r="O144" s="3">
        <v>45782</v>
      </c>
    </row>
    <row r="145" spans="1:15" x14ac:dyDescent="0.25">
      <c r="A145" t="s">
        <v>72</v>
      </c>
      <c r="B145" t="s">
        <v>16</v>
      </c>
      <c r="C145">
        <v>21.173646779999999</v>
      </c>
      <c r="D145" t="s">
        <v>28</v>
      </c>
      <c r="E145" t="s">
        <v>33</v>
      </c>
      <c r="F145" t="s">
        <v>19</v>
      </c>
      <c r="G145" s="2">
        <v>45782</v>
      </c>
      <c r="H145" t="s">
        <v>73</v>
      </c>
      <c r="I145" t="s">
        <v>73</v>
      </c>
      <c r="J145">
        <v>7.5804</v>
      </c>
      <c r="K145" t="s">
        <v>74</v>
      </c>
      <c r="L145">
        <v>2</v>
      </c>
      <c r="M145">
        <v>7.49</v>
      </c>
      <c r="N145">
        <v>9.0399999999999814E-2</v>
      </c>
      <c r="O145" s="3">
        <v>45782</v>
      </c>
    </row>
    <row r="146" spans="1:15" x14ac:dyDescent="0.25">
      <c r="A146" t="s">
        <v>39</v>
      </c>
      <c r="B146" t="s">
        <v>16</v>
      </c>
      <c r="C146">
        <v>4.5841851649888898</v>
      </c>
      <c r="D146" t="s">
        <v>28</v>
      </c>
      <c r="E146" t="s">
        <v>40</v>
      </c>
      <c r="F146" t="s">
        <v>19</v>
      </c>
      <c r="G146" s="2">
        <v>45782</v>
      </c>
      <c r="H146" t="s">
        <v>41</v>
      </c>
      <c r="I146" t="s">
        <v>41</v>
      </c>
      <c r="J146">
        <v>9.9582999999999995</v>
      </c>
      <c r="K146" t="s">
        <v>42</v>
      </c>
      <c r="L146">
        <v>2</v>
      </c>
      <c r="M146">
        <v>7.49</v>
      </c>
      <c r="N146">
        <v>2.4682999999999988</v>
      </c>
      <c r="O146" s="3">
        <v>45782</v>
      </c>
    </row>
    <row r="147" spans="1:15" x14ac:dyDescent="0.25">
      <c r="A147" t="s">
        <v>72</v>
      </c>
      <c r="B147" t="s">
        <v>16</v>
      </c>
      <c r="C147">
        <v>10.199467383547621</v>
      </c>
      <c r="D147" t="s">
        <v>28</v>
      </c>
      <c r="E147" t="s">
        <v>33</v>
      </c>
      <c r="F147" t="s">
        <v>19</v>
      </c>
      <c r="G147" s="2">
        <v>45782</v>
      </c>
      <c r="H147" t="s">
        <v>73</v>
      </c>
      <c r="I147" t="s">
        <v>73</v>
      </c>
      <c r="J147">
        <v>7.5804</v>
      </c>
      <c r="K147" t="s">
        <v>74</v>
      </c>
      <c r="L147">
        <v>2</v>
      </c>
      <c r="M147">
        <v>7.49</v>
      </c>
      <c r="N147">
        <v>9.0399999999999814E-2</v>
      </c>
      <c r="O147" s="3">
        <v>45782</v>
      </c>
    </row>
    <row r="148" spans="1:15" x14ac:dyDescent="0.25">
      <c r="A148" t="s">
        <v>69</v>
      </c>
      <c r="B148" t="s">
        <v>16</v>
      </c>
      <c r="C148">
        <v>526.57588592152774</v>
      </c>
      <c r="D148" t="s">
        <v>28</v>
      </c>
      <c r="E148" t="s">
        <v>58</v>
      </c>
      <c r="F148" t="s">
        <v>19</v>
      </c>
      <c r="G148" s="2">
        <v>45782</v>
      </c>
      <c r="H148" t="s">
        <v>70</v>
      </c>
      <c r="I148" t="s">
        <v>70</v>
      </c>
      <c r="J148">
        <v>8.2459000000000007</v>
      </c>
      <c r="K148" t="s">
        <v>71</v>
      </c>
      <c r="L148">
        <v>2</v>
      </c>
      <c r="M148">
        <v>7.49</v>
      </c>
      <c r="N148">
        <v>0.75590000000000046</v>
      </c>
      <c r="O148" s="3">
        <v>45782</v>
      </c>
    </row>
    <row r="149" spans="1:15" x14ac:dyDescent="0.25">
      <c r="A149" t="s">
        <v>43</v>
      </c>
      <c r="B149" t="s">
        <v>16</v>
      </c>
      <c r="C149">
        <v>7.9201505739999991</v>
      </c>
      <c r="D149" t="s">
        <v>28</v>
      </c>
      <c r="E149" t="s">
        <v>44</v>
      </c>
      <c r="F149" t="s">
        <v>19</v>
      </c>
      <c r="G149" s="2">
        <v>45782</v>
      </c>
      <c r="H149" t="s">
        <v>45</v>
      </c>
      <c r="I149" t="s">
        <v>45</v>
      </c>
      <c r="J149">
        <v>8.4629999999999992</v>
      </c>
      <c r="K149" t="s">
        <v>46</v>
      </c>
      <c r="L149">
        <v>2</v>
      </c>
      <c r="M149">
        <v>7.49</v>
      </c>
      <c r="N149">
        <v>0.97299999999999898</v>
      </c>
      <c r="O149" s="3">
        <v>45782</v>
      </c>
    </row>
    <row r="150" spans="1:15" x14ac:dyDescent="0.25">
      <c r="A150" t="s">
        <v>72</v>
      </c>
      <c r="B150" t="s">
        <v>16</v>
      </c>
      <c r="C150">
        <v>6.7600961940416671</v>
      </c>
      <c r="D150" t="s">
        <v>28</v>
      </c>
      <c r="E150" t="s">
        <v>33</v>
      </c>
      <c r="F150" t="s">
        <v>19</v>
      </c>
      <c r="G150" s="2">
        <v>45782</v>
      </c>
      <c r="H150" t="s">
        <v>73</v>
      </c>
      <c r="I150" t="s">
        <v>73</v>
      </c>
      <c r="J150">
        <v>7.5804</v>
      </c>
      <c r="K150" t="s">
        <v>74</v>
      </c>
      <c r="L150">
        <v>2</v>
      </c>
      <c r="M150">
        <v>7.49</v>
      </c>
      <c r="N150">
        <v>9.0399999999999814E-2</v>
      </c>
      <c r="O150" s="3">
        <v>45782</v>
      </c>
    </row>
    <row r="151" spans="1:15" x14ac:dyDescent="0.25">
      <c r="A151" t="s">
        <v>50</v>
      </c>
      <c r="B151" t="s">
        <v>16</v>
      </c>
      <c r="C151">
        <v>1.0127366928206349</v>
      </c>
      <c r="D151" t="s">
        <v>28</v>
      </c>
      <c r="E151" t="s">
        <v>51</v>
      </c>
      <c r="F151" t="s">
        <v>19</v>
      </c>
      <c r="G151" s="2">
        <v>45782</v>
      </c>
      <c r="H151" t="s">
        <v>52</v>
      </c>
      <c r="I151" t="s">
        <v>52</v>
      </c>
      <c r="J151">
        <v>12.620100000000001</v>
      </c>
      <c r="K151" t="s">
        <v>53</v>
      </c>
      <c r="L151">
        <v>2</v>
      </c>
      <c r="M151">
        <v>7.49</v>
      </c>
      <c r="N151">
        <v>5.1301000000000014</v>
      </c>
      <c r="O151" s="3">
        <v>45782</v>
      </c>
    </row>
    <row r="152" spans="1:15" x14ac:dyDescent="0.25">
      <c r="A152" t="s">
        <v>69</v>
      </c>
      <c r="B152" t="s">
        <v>16</v>
      </c>
      <c r="C152">
        <v>437.78938072730477</v>
      </c>
      <c r="D152" t="s">
        <v>28</v>
      </c>
      <c r="E152" t="s">
        <v>58</v>
      </c>
      <c r="F152" t="s">
        <v>19</v>
      </c>
      <c r="G152" s="2">
        <v>45782</v>
      </c>
      <c r="H152" t="s">
        <v>70</v>
      </c>
      <c r="I152" t="s">
        <v>70</v>
      </c>
      <c r="J152">
        <v>8.2459000000000007</v>
      </c>
      <c r="K152" t="s">
        <v>71</v>
      </c>
      <c r="L152">
        <v>2</v>
      </c>
      <c r="M152">
        <v>7.49</v>
      </c>
      <c r="N152">
        <v>0.75590000000000046</v>
      </c>
      <c r="O152" s="3">
        <v>45782</v>
      </c>
    </row>
    <row r="153" spans="1:15" x14ac:dyDescent="0.25">
      <c r="A153" t="s">
        <v>50</v>
      </c>
      <c r="B153" t="s">
        <v>16</v>
      </c>
      <c r="C153">
        <v>1.8429871321142861</v>
      </c>
      <c r="D153" t="s">
        <v>28</v>
      </c>
      <c r="E153" t="s">
        <v>51</v>
      </c>
      <c r="F153" t="s">
        <v>19</v>
      </c>
      <c r="G153" s="2">
        <v>45782</v>
      </c>
      <c r="H153" t="s">
        <v>52</v>
      </c>
      <c r="I153" t="s">
        <v>52</v>
      </c>
      <c r="J153">
        <v>12.620100000000001</v>
      </c>
      <c r="K153" t="s">
        <v>53</v>
      </c>
      <c r="L153">
        <v>2</v>
      </c>
      <c r="M153">
        <v>7.49</v>
      </c>
      <c r="N153">
        <v>5.1301000000000014</v>
      </c>
      <c r="O153" s="3">
        <v>45782</v>
      </c>
    </row>
    <row r="154" spans="1:15" x14ac:dyDescent="0.25">
      <c r="A154" t="s">
        <v>72</v>
      </c>
      <c r="B154" t="s">
        <v>16</v>
      </c>
      <c r="C154">
        <v>15.485437161071429</v>
      </c>
      <c r="D154" t="s">
        <v>28</v>
      </c>
      <c r="E154" t="s">
        <v>33</v>
      </c>
      <c r="F154" t="s">
        <v>19</v>
      </c>
      <c r="G154" s="2">
        <v>45782</v>
      </c>
      <c r="H154" t="s">
        <v>73</v>
      </c>
      <c r="I154" t="s">
        <v>73</v>
      </c>
      <c r="J154">
        <v>7.5804</v>
      </c>
      <c r="K154" t="s">
        <v>74</v>
      </c>
      <c r="L154">
        <v>2</v>
      </c>
      <c r="M154">
        <v>7.49</v>
      </c>
      <c r="N154">
        <v>9.0399999999999814E-2</v>
      </c>
      <c r="O154" s="3">
        <v>45782</v>
      </c>
    </row>
    <row r="155" spans="1:15" x14ac:dyDescent="0.25">
      <c r="A155" t="s">
        <v>69</v>
      </c>
      <c r="B155" t="s">
        <v>16</v>
      </c>
      <c r="C155">
        <v>27.02194603969366</v>
      </c>
      <c r="D155" t="s">
        <v>28</v>
      </c>
      <c r="E155" t="s">
        <v>58</v>
      </c>
      <c r="F155" t="s">
        <v>19</v>
      </c>
      <c r="G155" s="2">
        <v>45782</v>
      </c>
      <c r="H155" t="s">
        <v>70</v>
      </c>
      <c r="I155" t="s">
        <v>70</v>
      </c>
      <c r="J155">
        <v>8.2459000000000007</v>
      </c>
      <c r="K155" t="s">
        <v>71</v>
      </c>
      <c r="L155">
        <v>2</v>
      </c>
      <c r="M155">
        <v>7.49</v>
      </c>
      <c r="N155">
        <v>0.75590000000000046</v>
      </c>
      <c r="O155" s="3">
        <v>45782</v>
      </c>
    </row>
    <row r="156" spans="1:15" x14ac:dyDescent="0.25">
      <c r="A156" t="s">
        <v>69</v>
      </c>
      <c r="B156" t="s">
        <v>16</v>
      </c>
      <c r="C156">
        <v>12.34618185120873</v>
      </c>
      <c r="D156" t="s">
        <v>28</v>
      </c>
      <c r="E156" t="s">
        <v>58</v>
      </c>
      <c r="F156" t="s">
        <v>19</v>
      </c>
      <c r="G156" s="2">
        <v>45782</v>
      </c>
      <c r="H156" t="s">
        <v>70</v>
      </c>
      <c r="I156" t="s">
        <v>70</v>
      </c>
      <c r="J156">
        <v>8.2459000000000007</v>
      </c>
      <c r="K156" t="s">
        <v>71</v>
      </c>
      <c r="L156">
        <v>2</v>
      </c>
      <c r="M156">
        <v>7.49</v>
      </c>
      <c r="N156">
        <v>0.75590000000000046</v>
      </c>
      <c r="O156" s="3">
        <v>45782</v>
      </c>
    </row>
    <row r="157" spans="1:15" x14ac:dyDescent="0.25">
      <c r="A157" t="s">
        <v>50</v>
      </c>
      <c r="B157" t="s">
        <v>16</v>
      </c>
      <c r="C157">
        <v>28.689322130666671</v>
      </c>
      <c r="D157" t="s">
        <v>28</v>
      </c>
      <c r="E157" t="s">
        <v>51</v>
      </c>
      <c r="F157" t="s">
        <v>19</v>
      </c>
      <c r="G157" s="2">
        <v>45782</v>
      </c>
      <c r="H157" t="s">
        <v>52</v>
      </c>
      <c r="I157" t="s">
        <v>52</v>
      </c>
      <c r="J157">
        <v>12.620100000000001</v>
      </c>
      <c r="K157" t="s">
        <v>53</v>
      </c>
      <c r="L157">
        <v>2</v>
      </c>
      <c r="M157">
        <v>7.49</v>
      </c>
      <c r="N157">
        <v>5.1301000000000014</v>
      </c>
      <c r="O157" s="3">
        <v>45782</v>
      </c>
    </row>
    <row r="158" spans="1:15" x14ac:dyDescent="0.25">
      <c r="A158" t="s">
        <v>69</v>
      </c>
      <c r="B158" t="s">
        <v>16</v>
      </c>
      <c r="C158">
        <v>488.9666416212774</v>
      </c>
      <c r="D158" t="s">
        <v>28</v>
      </c>
      <c r="E158" t="s">
        <v>58</v>
      </c>
      <c r="F158" t="s">
        <v>19</v>
      </c>
      <c r="G158" s="2">
        <v>45782</v>
      </c>
      <c r="H158" t="s">
        <v>70</v>
      </c>
      <c r="I158" t="s">
        <v>70</v>
      </c>
      <c r="J158">
        <v>8.2459000000000007</v>
      </c>
      <c r="K158" t="s">
        <v>71</v>
      </c>
      <c r="L158">
        <v>2</v>
      </c>
      <c r="M158">
        <v>7.49</v>
      </c>
      <c r="N158">
        <v>0.75590000000000046</v>
      </c>
      <c r="O158" s="3">
        <v>45782</v>
      </c>
    </row>
    <row r="159" spans="1:15" x14ac:dyDescent="0.25">
      <c r="A159" t="s">
        <v>72</v>
      </c>
      <c r="B159" t="s">
        <v>16</v>
      </c>
      <c r="C159">
        <v>12.563569538077379</v>
      </c>
      <c r="D159" t="s">
        <v>28</v>
      </c>
      <c r="E159" t="s">
        <v>33</v>
      </c>
      <c r="F159" t="s">
        <v>19</v>
      </c>
      <c r="G159" s="2">
        <v>45782</v>
      </c>
      <c r="H159" t="s">
        <v>73</v>
      </c>
      <c r="I159" t="s">
        <v>73</v>
      </c>
      <c r="J159">
        <v>7.5804</v>
      </c>
      <c r="K159" t="s">
        <v>74</v>
      </c>
      <c r="L159">
        <v>2</v>
      </c>
      <c r="M159">
        <v>7.49</v>
      </c>
      <c r="N159">
        <v>9.0399999999999814E-2</v>
      </c>
      <c r="O159" s="3">
        <v>45782</v>
      </c>
    </row>
    <row r="160" spans="1:15" x14ac:dyDescent="0.25">
      <c r="A160" t="s">
        <v>69</v>
      </c>
      <c r="B160" t="s">
        <v>16</v>
      </c>
      <c r="C160">
        <v>21.312330009533731</v>
      </c>
      <c r="D160" t="s">
        <v>28</v>
      </c>
      <c r="E160" t="s">
        <v>58</v>
      </c>
      <c r="F160" t="s">
        <v>19</v>
      </c>
      <c r="G160" s="2">
        <v>45782</v>
      </c>
      <c r="H160" t="s">
        <v>70</v>
      </c>
      <c r="I160" t="s">
        <v>70</v>
      </c>
      <c r="J160">
        <v>8.2459000000000007</v>
      </c>
      <c r="K160" t="s">
        <v>71</v>
      </c>
      <c r="L160">
        <v>2</v>
      </c>
      <c r="M160">
        <v>7.49</v>
      </c>
      <c r="N160">
        <v>0.75590000000000046</v>
      </c>
      <c r="O160" s="3">
        <v>45782</v>
      </c>
    </row>
    <row r="161" spans="1:15" x14ac:dyDescent="0.25">
      <c r="A161" t="s">
        <v>72</v>
      </c>
      <c r="B161" t="s">
        <v>16</v>
      </c>
      <c r="C161">
        <v>24.343483558952379</v>
      </c>
      <c r="D161" t="s">
        <v>28</v>
      </c>
      <c r="E161" t="s">
        <v>33</v>
      </c>
      <c r="F161" t="s">
        <v>19</v>
      </c>
      <c r="G161" s="2">
        <v>45782</v>
      </c>
      <c r="H161" t="s">
        <v>73</v>
      </c>
      <c r="I161" t="s">
        <v>73</v>
      </c>
      <c r="J161">
        <v>7.5804</v>
      </c>
      <c r="K161" t="s">
        <v>74</v>
      </c>
      <c r="L161">
        <v>2</v>
      </c>
      <c r="M161">
        <v>7.49</v>
      </c>
      <c r="N161">
        <v>9.0399999999999814E-2</v>
      </c>
      <c r="O161" s="3">
        <v>45782</v>
      </c>
    </row>
    <row r="162" spans="1:15" x14ac:dyDescent="0.25">
      <c r="A162" t="s">
        <v>39</v>
      </c>
      <c r="B162" t="s">
        <v>16</v>
      </c>
      <c r="C162">
        <v>3.806869052044445</v>
      </c>
      <c r="D162" t="s">
        <v>28</v>
      </c>
      <c r="E162" t="s">
        <v>40</v>
      </c>
      <c r="F162" t="s">
        <v>19</v>
      </c>
      <c r="G162" s="2">
        <v>45782</v>
      </c>
      <c r="H162" t="s">
        <v>41</v>
      </c>
      <c r="I162" t="s">
        <v>41</v>
      </c>
      <c r="J162">
        <v>9.9582999999999995</v>
      </c>
      <c r="K162" t="s">
        <v>42</v>
      </c>
      <c r="L162">
        <v>2</v>
      </c>
      <c r="M162">
        <v>7.49</v>
      </c>
      <c r="N162">
        <v>2.4682999999999988</v>
      </c>
      <c r="O162" s="3">
        <v>45782</v>
      </c>
    </row>
    <row r="163" spans="1:15" x14ac:dyDescent="0.25">
      <c r="A163" t="s">
        <v>72</v>
      </c>
      <c r="B163" t="s">
        <v>16</v>
      </c>
      <c r="C163">
        <v>349.87122878190479</v>
      </c>
      <c r="D163" t="s">
        <v>28</v>
      </c>
      <c r="E163" t="s">
        <v>33</v>
      </c>
      <c r="F163" t="s">
        <v>19</v>
      </c>
      <c r="G163" s="2">
        <v>45782</v>
      </c>
      <c r="H163" t="s">
        <v>73</v>
      </c>
      <c r="I163" t="s">
        <v>73</v>
      </c>
      <c r="J163">
        <v>7.5804</v>
      </c>
      <c r="K163" t="s">
        <v>74</v>
      </c>
      <c r="L163">
        <v>2</v>
      </c>
      <c r="M163">
        <v>7.49</v>
      </c>
      <c r="N163">
        <v>9.0399999999999814E-2</v>
      </c>
      <c r="O163" s="3">
        <v>45782</v>
      </c>
    </row>
    <row r="164" spans="1:15" x14ac:dyDescent="0.25">
      <c r="A164" t="s">
        <v>32</v>
      </c>
      <c r="B164" t="s">
        <v>16</v>
      </c>
      <c r="C164">
        <v>36.613459141790472</v>
      </c>
      <c r="D164" t="s">
        <v>28</v>
      </c>
      <c r="E164" t="s">
        <v>33</v>
      </c>
      <c r="F164" t="s">
        <v>19</v>
      </c>
      <c r="G164" s="2">
        <v>45782</v>
      </c>
      <c r="H164" t="s">
        <v>34</v>
      </c>
      <c r="I164" t="s">
        <v>34</v>
      </c>
      <c r="J164">
        <v>7.8830999999999998</v>
      </c>
      <c r="K164" t="s">
        <v>35</v>
      </c>
      <c r="L164">
        <v>2</v>
      </c>
      <c r="M164">
        <v>7.49</v>
      </c>
      <c r="N164">
        <v>0.39309999999999962</v>
      </c>
      <c r="O164" s="3">
        <v>45782</v>
      </c>
    </row>
    <row r="165" spans="1:15" x14ac:dyDescent="0.25">
      <c r="A165" t="s">
        <v>50</v>
      </c>
      <c r="B165" t="s">
        <v>16</v>
      </c>
      <c r="C165">
        <v>1.2295602535682539</v>
      </c>
      <c r="D165" t="s">
        <v>28</v>
      </c>
      <c r="E165" t="s">
        <v>51</v>
      </c>
      <c r="F165" t="s">
        <v>19</v>
      </c>
      <c r="G165" s="2">
        <v>45782</v>
      </c>
      <c r="H165" t="s">
        <v>52</v>
      </c>
      <c r="I165" t="s">
        <v>52</v>
      </c>
      <c r="J165">
        <v>12.620100000000001</v>
      </c>
      <c r="K165" t="s">
        <v>53</v>
      </c>
      <c r="L165">
        <v>2</v>
      </c>
      <c r="M165">
        <v>7.49</v>
      </c>
      <c r="N165">
        <v>5.1301000000000014</v>
      </c>
      <c r="O165" s="3">
        <v>45782</v>
      </c>
    </row>
    <row r="166" spans="1:15" x14ac:dyDescent="0.25">
      <c r="A166" t="s">
        <v>32</v>
      </c>
      <c r="B166" t="s">
        <v>16</v>
      </c>
      <c r="C166">
        <v>455.67410688061437</v>
      </c>
      <c r="D166" t="s">
        <v>28</v>
      </c>
      <c r="E166" t="s">
        <v>33</v>
      </c>
      <c r="F166" t="s">
        <v>19</v>
      </c>
      <c r="G166" s="2">
        <v>45782</v>
      </c>
      <c r="H166" t="s">
        <v>34</v>
      </c>
      <c r="I166" t="s">
        <v>34</v>
      </c>
      <c r="J166">
        <v>7.8830999999999998</v>
      </c>
      <c r="K166" t="s">
        <v>35</v>
      </c>
      <c r="L166">
        <v>2</v>
      </c>
      <c r="M166">
        <v>7.49</v>
      </c>
      <c r="N166">
        <v>0.39309999999999962</v>
      </c>
      <c r="O166" s="3">
        <v>45782</v>
      </c>
    </row>
    <row r="167" spans="1:15" x14ac:dyDescent="0.25">
      <c r="A167" t="s">
        <v>32</v>
      </c>
      <c r="B167" t="s">
        <v>16</v>
      </c>
      <c r="C167">
        <v>492.96203895792701</v>
      </c>
      <c r="D167" t="s">
        <v>28</v>
      </c>
      <c r="E167" t="s">
        <v>33</v>
      </c>
      <c r="F167" t="s">
        <v>19</v>
      </c>
      <c r="G167" s="2">
        <v>45782</v>
      </c>
      <c r="H167" t="s">
        <v>34</v>
      </c>
      <c r="I167" t="s">
        <v>34</v>
      </c>
      <c r="J167">
        <v>7.8830999999999998</v>
      </c>
      <c r="K167" t="s">
        <v>35</v>
      </c>
      <c r="L167">
        <v>2</v>
      </c>
      <c r="M167">
        <v>7.49</v>
      </c>
      <c r="N167">
        <v>0.39309999999999962</v>
      </c>
      <c r="O167" s="3">
        <v>45782</v>
      </c>
    </row>
    <row r="168" spans="1:15" x14ac:dyDescent="0.25">
      <c r="A168" t="s">
        <v>72</v>
      </c>
      <c r="B168" t="s">
        <v>16</v>
      </c>
      <c r="C168">
        <v>10.36001446497024</v>
      </c>
      <c r="D168" t="s">
        <v>28</v>
      </c>
      <c r="E168" t="s">
        <v>33</v>
      </c>
      <c r="F168" t="s">
        <v>19</v>
      </c>
      <c r="G168" s="2">
        <v>45782</v>
      </c>
      <c r="H168" t="s">
        <v>73</v>
      </c>
      <c r="I168" t="s">
        <v>73</v>
      </c>
      <c r="J168">
        <v>7.5804</v>
      </c>
      <c r="K168" t="s">
        <v>74</v>
      </c>
      <c r="L168">
        <v>2</v>
      </c>
      <c r="M168">
        <v>7.49</v>
      </c>
      <c r="N168">
        <v>9.0399999999999814E-2</v>
      </c>
      <c r="O168" s="3">
        <v>45782</v>
      </c>
    </row>
    <row r="169" spans="1:15" x14ac:dyDescent="0.25">
      <c r="A169" t="s">
        <v>50</v>
      </c>
      <c r="B169" t="s">
        <v>16</v>
      </c>
      <c r="C169">
        <v>1.521677950374603</v>
      </c>
      <c r="D169" t="s">
        <v>28</v>
      </c>
      <c r="E169" t="s">
        <v>51</v>
      </c>
      <c r="F169" t="s">
        <v>19</v>
      </c>
      <c r="G169" s="2">
        <v>45782</v>
      </c>
      <c r="H169" t="s">
        <v>52</v>
      </c>
      <c r="I169" t="s">
        <v>52</v>
      </c>
      <c r="J169">
        <v>12.620100000000001</v>
      </c>
      <c r="K169" t="s">
        <v>53</v>
      </c>
      <c r="L169">
        <v>2</v>
      </c>
      <c r="M169">
        <v>7.49</v>
      </c>
      <c r="N169">
        <v>5.1301000000000014</v>
      </c>
      <c r="O169" s="3">
        <v>45782</v>
      </c>
    </row>
    <row r="170" spans="1:15" x14ac:dyDescent="0.25">
      <c r="A170" t="s">
        <v>32</v>
      </c>
      <c r="B170" t="s">
        <v>16</v>
      </c>
      <c r="C170">
        <v>28.30253744454286</v>
      </c>
      <c r="D170" t="s">
        <v>28</v>
      </c>
      <c r="E170" t="s">
        <v>33</v>
      </c>
      <c r="F170" t="s">
        <v>19</v>
      </c>
      <c r="G170" s="2">
        <v>45782</v>
      </c>
      <c r="H170" t="s">
        <v>34</v>
      </c>
      <c r="I170" t="s">
        <v>34</v>
      </c>
      <c r="J170">
        <v>7.8830999999999998</v>
      </c>
      <c r="K170" t="s">
        <v>35</v>
      </c>
      <c r="L170">
        <v>2</v>
      </c>
      <c r="M170">
        <v>7.49</v>
      </c>
      <c r="N170">
        <v>0.39309999999999962</v>
      </c>
      <c r="O170" s="3">
        <v>45782</v>
      </c>
    </row>
    <row r="171" spans="1:15" x14ac:dyDescent="0.25">
      <c r="A171" t="s">
        <v>32</v>
      </c>
      <c r="B171" t="s">
        <v>16</v>
      </c>
      <c r="C171">
        <v>31.891222604799999</v>
      </c>
      <c r="D171" t="s">
        <v>28</v>
      </c>
      <c r="E171" t="s">
        <v>33</v>
      </c>
      <c r="F171" t="s">
        <v>19</v>
      </c>
      <c r="G171" s="2">
        <v>45782</v>
      </c>
      <c r="H171" t="s">
        <v>34</v>
      </c>
      <c r="I171" t="s">
        <v>34</v>
      </c>
      <c r="J171">
        <v>7.8830999999999998</v>
      </c>
      <c r="K171" t="s">
        <v>35</v>
      </c>
      <c r="L171">
        <v>2</v>
      </c>
      <c r="M171">
        <v>7.49</v>
      </c>
      <c r="N171">
        <v>0.39309999999999962</v>
      </c>
      <c r="O171" s="3">
        <v>45782</v>
      </c>
    </row>
    <row r="172" spans="1:15" x14ac:dyDescent="0.25">
      <c r="A172" t="s">
        <v>32</v>
      </c>
      <c r="B172" t="s">
        <v>16</v>
      </c>
      <c r="C172">
        <v>23.42107575382143</v>
      </c>
      <c r="D172" t="s">
        <v>28</v>
      </c>
      <c r="E172" t="s">
        <v>33</v>
      </c>
      <c r="F172" t="s">
        <v>19</v>
      </c>
      <c r="G172" s="2">
        <v>45782</v>
      </c>
      <c r="H172" t="s">
        <v>34</v>
      </c>
      <c r="I172" t="s">
        <v>34</v>
      </c>
      <c r="J172">
        <v>7.8830999999999998</v>
      </c>
      <c r="K172" t="s">
        <v>35</v>
      </c>
      <c r="L172">
        <v>2</v>
      </c>
      <c r="M172">
        <v>7.49</v>
      </c>
      <c r="N172">
        <v>0.39309999999999962</v>
      </c>
      <c r="O172" s="3">
        <v>45782</v>
      </c>
    </row>
    <row r="173" spans="1:15" x14ac:dyDescent="0.25">
      <c r="A173" t="s">
        <v>50</v>
      </c>
      <c r="B173" t="s">
        <v>16</v>
      </c>
      <c r="C173">
        <v>0.82022210509841276</v>
      </c>
      <c r="D173" t="s">
        <v>28</v>
      </c>
      <c r="E173" t="s">
        <v>51</v>
      </c>
      <c r="F173" t="s">
        <v>19</v>
      </c>
      <c r="G173" s="2">
        <v>45782</v>
      </c>
      <c r="H173" t="s">
        <v>52</v>
      </c>
      <c r="I173" t="s">
        <v>52</v>
      </c>
      <c r="J173">
        <v>12.620100000000001</v>
      </c>
      <c r="K173" t="s">
        <v>53</v>
      </c>
      <c r="L173">
        <v>2</v>
      </c>
      <c r="M173">
        <v>7.49</v>
      </c>
      <c r="N173">
        <v>5.1301000000000014</v>
      </c>
      <c r="O173" s="3">
        <v>45782</v>
      </c>
    </row>
    <row r="174" spans="1:15" x14ac:dyDescent="0.25">
      <c r="A174" t="s">
        <v>32</v>
      </c>
      <c r="B174" t="s">
        <v>16</v>
      </c>
      <c r="C174">
        <v>19.02854432402302</v>
      </c>
      <c r="D174" t="s">
        <v>28</v>
      </c>
      <c r="E174" t="s">
        <v>33</v>
      </c>
      <c r="F174" t="s">
        <v>19</v>
      </c>
      <c r="G174" s="2">
        <v>45782</v>
      </c>
      <c r="H174" t="s">
        <v>34</v>
      </c>
      <c r="I174" t="s">
        <v>34</v>
      </c>
      <c r="J174">
        <v>7.8830999999999998</v>
      </c>
      <c r="K174" t="s">
        <v>35</v>
      </c>
      <c r="L174">
        <v>2</v>
      </c>
      <c r="M174">
        <v>7.49</v>
      </c>
      <c r="N174">
        <v>0.39309999999999962</v>
      </c>
      <c r="O174" s="3">
        <v>45782</v>
      </c>
    </row>
    <row r="175" spans="1:15" x14ac:dyDescent="0.25">
      <c r="A175" t="s">
        <v>39</v>
      </c>
      <c r="B175" t="s">
        <v>16</v>
      </c>
      <c r="C175">
        <v>2.6345885365571431</v>
      </c>
      <c r="D175" t="s">
        <v>28</v>
      </c>
      <c r="E175" t="s">
        <v>40</v>
      </c>
      <c r="F175" t="s">
        <v>19</v>
      </c>
      <c r="G175" s="2">
        <v>45782</v>
      </c>
      <c r="H175" t="s">
        <v>41</v>
      </c>
      <c r="I175" t="s">
        <v>41</v>
      </c>
      <c r="J175">
        <v>9.9582999999999995</v>
      </c>
      <c r="K175" t="s">
        <v>42</v>
      </c>
      <c r="L175">
        <v>2</v>
      </c>
      <c r="M175">
        <v>7.49</v>
      </c>
      <c r="N175">
        <v>2.4682999999999988</v>
      </c>
      <c r="O175" s="3">
        <v>45782</v>
      </c>
    </row>
    <row r="176" spans="1:15" x14ac:dyDescent="0.25">
      <c r="A176" t="s">
        <v>36</v>
      </c>
      <c r="B176" t="s">
        <v>16</v>
      </c>
      <c r="C176">
        <v>5.9499101309111113</v>
      </c>
      <c r="D176" t="s">
        <v>28</v>
      </c>
      <c r="E176" t="s">
        <v>29</v>
      </c>
      <c r="F176" t="s">
        <v>19</v>
      </c>
      <c r="G176" s="2">
        <v>45782</v>
      </c>
      <c r="H176" t="s">
        <v>37</v>
      </c>
      <c r="I176" t="s">
        <v>37</v>
      </c>
      <c r="J176">
        <v>8.0528999999999993</v>
      </c>
      <c r="K176" t="s">
        <v>38</v>
      </c>
      <c r="L176">
        <v>2</v>
      </c>
      <c r="M176">
        <v>7.49</v>
      </c>
      <c r="N176">
        <v>0.56289999999999907</v>
      </c>
      <c r="O176" s="3">
        <v>45782</v>
      </c>
    </row>
    <row r="177" spans="1:15" x14ac:dyDescent="0.25">
      <c r="A177" t="s">
        <v>36</v>
      </c>
      <c r="B177" t="s">
        <v>16</v>
      </c>
      <c r="C177">
        <v>1.0004261309</v>
      </c>
      <c r="D177" t="s">
        <v>28</v>
      </c>
      <c r="E177" t="s">
        <v>29</v>
      </c>
      <c r="F177" t="s">
        <v>19</v>
      </c>
      <c r="G177" s="2">
        <v>45782</v>
      </c>
      <c r="H177" t="s">
        <v>37</v>
      </c>
      <c r="I177" t="s">
        <v>37</v>
      </c>
      <c r="J177">
        <v>8.0528999999999993</v>
      </c>
      <c r="K177" t="s">
        <v>38</v>
      </c>
      <c r="L177">
        <v>2</v>
      </c>
      <c r="M177">
        <v>7.49</v>
      </c>
      <c r="N177">
        <v>0.56289999999999907</v>
      </c>
      <c r="O177" s="3">
        <v>45782</v>
      </c>
    </row>
    <row r="178" spans="1:15" x14ac:dyDescent="0.25">
      <c r="A178" t="s">
        <v>32</v>
      </c>
      <c r="B178" t="s">
        <v>16</v>
      </c>
      <c r="C178">
        <v>30.813935149084919</v>
      </c>
      <c r="D178" t="s">
        <v>28</v>
      </c>
      <c r="E178" t="s">
        <v>33</v>
      </c>
      <c r="F178" t="s">
        <v>19</v>
      </c>
      <c r="G178" s="2">
        <v>45782</v>
      </c>
      <c r="H178" t="s">
        <v>34</v>
      </c>
      <c r="I178" t="s">
        <v>34</v>
      </c>
      <c r="J178">
        <v>7.8830999999999998</v>
      </c>
      <c r="K178" t="s">
        <v>35</v>
      </c>
      <c r="L178">
        <v>2</v>
      </c>
      <c r="M178">
        <v>7.49</v>
      </c>
      <c r="N178">
        <v>0.39309999999999962</v>
      </c>
      <c r="O178" s="3">
        <v>45782</v>
      </c>
    </row>
    <row r="179" spans="1:15" x14ac:dyDescent="0.25">
      <c r="A179" t="s">
        <v>32</v>
      </c>
      <c r="B179" t="s">
        <v>16</v>
      </c>
      <c r="C179">
        <v>26.534226379938101</v>
      </c>
      <c r="D179" t="s">
        <v>28</v>
      </c>
      <c r="E179" t="s">
        <v>33</v>
      </c>
      <c r="F179" t="s">
        <v>19</v>
      </c>
      <c r="G179" s="2">
        <v>45782</v>
      </c>
      <c r="H179" t="s">
        <v>34</v>
      </c>
      <c r="I179" t="s">
        <v>34</v>
      </c>
      <c r="J179">
        <v>7.8830999999999998</v>
      </c>
      <c r="K179" t="s">
        <v>35</v>
      </c>
      <c r="L179">
        <v>2</v>
      </c>
      <c r="M179">
        <v>7.49</v>
      </c>
      <c r="N179">
        <v>0.39309999999999962</v>
      </c>
      <c r="O179" s="3">
        <v>45782</v>
      </c>
    </row>
    <row r="180" spans="1:15" x14ac:dyDescent="0.25">
      <c r="A180" t="s">
        <v>36</v>
      </c>
      <c r="B180" t="s">
        <v>16</v>
      </c>
      <c r="C180">
        <v>3.8261369491999999</v>
      </c>
      <c r="D180" t="s">
        <v>28</v>
      </c>
      <c r="E180" t="s">
        <v>29</v>
      </c>
      <c r="F180" t="s">
        <v>19</v>
      </c>
      <c r="G180" s="2">
        <v>45782</v>
      </c>
      <c r="H180" t="s">
        <v>37</v>
      </c>
      <c r="I180" t="s">
        <v>37</v>
      </c>
      <c r="J180">
        <v>8.0528999999999993</v>
      </c>
      <c r="K180" t="s">
        <v>38</v>
      </c>
      <c r="L180">
        <v>2</v>
      </c>
      <c r="M180">
        <v>7.49</v>
      </c>
      <c r="N180">
        <v>0.56289999999999907</v>
      </c>
      <c r="O180" s="3">
        <v>45782</v>
      </c>
    </row>
    <row r="181" spans="1:15" x14ac:dyDescent="0.25">
      <c r="A181" t="s">
        <v>72</v>
      </c>
      <c r="B181" t="s">
        <v>16</v>
      </c>
      <c r="C181">
        <v>305.15151291880358</v>
      </c>
      <c r="D181" t="s">
        <v>28</v>
      </c>
      <c r="E181" t="s">
        <v>33</v>
      </c>
      <c r="F181" t="s">
        <v>19</v>
      </c>
      <c r="G181" s="2">
        <v>45782</v>
      </c>
      <c r="H181" t="s">
        <v>73</v>
      </c>
      <c r="I181" t="s">
        <v>73</v>
      </c>
      <c r="J181">
        <v>7.5804</v>
      </c>
      <c r="K181" t="s">
        <v>74</v>
      </c>
      <c r="L181">
        <v>2</v>
      </c>
      <c r="M181">
        <v>7.49</v>
      </c>
      <c r="N181">
        <v>9.0399999999999814E-2</v>
      </c>
      <c r="O181" s="3">
        <v>45782</v>
      </c>
    </row>
    <row r="182" spans="1:15" x14ac:dyDescent="0.25">
      <c r="A182" t="s">
        <v>50</v>
      </c>
      <c r="B182" t="s">
        <v>16</v>
      </c>
      <c r="C182">
        <v>2.1359275836646821</v>
      </c>
      <c r="D182" t="s">
        <v>28</v>
      </c>
      <c r="E182" t="s">
        <v>51</v>
      </c>
      <c r="F182" t="s">
        <v>19</v>
      </c>
      <c r="G182" s="2">
        <v>45782</v>
      </c>
      <c r="H182" t="s">
        <v>52</v>
      </c>
      <c r="I182" t="s">
        <v>52</v>
      </c>
      <c r="J182">
        <v>12.620100000000001</v>
      </c>
      <c r="K182" t="s">
        <v>53</v>
      </c>
      <c r="L182">
        <v>2</v>
      </c>
      <c r="M182">
        <v>7.49</v>
      </c>
      <c r="N182">
        <v>5.1301000000000014</v>
      </c>
      <c r="O182" s="3">
        <v>45782</v>
      </c>
    </row>
    <row r="183" spans="1:15" x14ac:dyDescent="0.25">
      <c r="A183" t="s">
        <v>50</v>
      </c>
      <c r="B183" t="s">
        <v>16</v>
      </c>
      <c r="C183">
        <v>2.4056727253571428</v>
      </c>
      <c r="D183" t="s">
        <v>28</v>
      </c>
      <c r="E183" t="s">
        <v>51</v>
      </c>
      <c r="F183" t="s">
        <v>19</v>
      </c>
      <c r="G183" s="2">
        <v>45782</v>
      </c>
      <c r="H183" t="s">
        <v>52</v>
      </c>
      <c r="I183" t="s">
        <v>52</v>
      </c>
      <c r="J183">
        <v>12.620100000000001</v>
      </c>
      <c r="K183" t="s">
        <v>53</v>
      </c>
      <c r="L183">
        <v>2</v>
      </c>
      <c r="M183">
        <v>7.49</v>
      </c>
      <c r="N183">
        <v>5.1301000000000014</v>
      </c>
      <c r="O183" s="3">
        <v>45782</v>
      </c>
    </row>
    <row r="184" spans="1:15" x14ac:dyDescent="0.25">
      <c r="A184" t="s">
        <v>72</v>
      </c>
      <c r="B184" t="s">
        <v>16</v>
      </c>
      <c r="C184">
        <v>331.14899267109519</v>
      </c>
      <c r="D184" t="s">
        <v>28</v>
      </c>
      <c r="E184" t="s">
        <v>33</v>
      </c>
      <c r="F184" t="s">
        <v>19</v>
      </c>
      <c r="G184" s="2">
        <v>45782</v>
      </c>
      <c r="H184" t="s">
        <v>73</v>
      </c>
      <c r="I184" t="s">
        <v>73</v>
      </c>
      <c r="J184">
        <v>7.5804</v>
      </c>
      <c r="K184" t="s">
        <v>74</v>
      </c>
      <c r="L184">
        <v>2</v>
      </c>
      <c r="M184">
        <v>7.49</v>
      </c>
      <c r="N184">
        <v>9.0399999999999814E-2</v>
      </c>
      <c r="O184" s="3">
        <v>45782</v>
      </c>
    </row>
    <row r="185" spans="1:15" x14ac:dyDescent="0.25">
      <c r="A185" t="s">
        <v>43</v>
      </c>
      <c r="B185" t="s">
        <v>16</v>
      </c>
      <c r="C185">
        <v>18.619632883424998</v>
      </c>
      <c r="D185" t="s">
        <v>28</v>
      </c>
      <c r="E185" t="s">
        <v>44</v>
      </c>
      <c r="F185" t="s">
        <v>19</v>
      </c>
      <c r="G185" s="2">
        <v>45782</v>
      </c>
      <c r="H185" t="s">
        <v>45</v>
      </c>
      <c r="I185" t="s">
        <v>45</v>
      </c>
      <c r="J185">
        <v>8.4629999999999992</v>
      </c>
      <c r="K185" t="s">
        <v>46</v>
      </c>
      <c r="L185">
        <v>2</v>
      </c>
      <c r="M185">
        <v>7.49</v>
      </c>
      <c r="N185">
        <v>0.97299999999999898</v>
      </c>
      <c r="O185" s="3">
        <v>45782</v>
      </c>
    </row>
    <row r="186" spans="1:15" x14ac:dyDescent="0.25">
      <c r="A186" t="s">
        <v>32</v>
      </c>
      <c r="B186" t="s">
        <v>16</v>
      </c>
      <c r="C186">
        <v>519.27301256448254</v>
      </c>
      <c r="D186" t="s">
        <v>28</v>
      </c>
      <c r="E186" t="s">
        <v>33</v>
      </c>
      <c r="F186" t="s">
        <v>19</v>
      </c>
      <c r="G186" s="2">
        <v>45782</v>
      </c>
      <c r="H186" t="s">
        <v>34</v>
      </c>
      <c r="I186" t="s">
        <v>34</v>
      </c>
      <c r="J186">
        <v>7.8830999999999998</v>
      </c>
      <c r="K186" t="s">
        <v>35</v>
      </c>
      <c r="L186">
        <v>2</v>
      </c>
      <c r="M186">
        <v>7.49</v>
      </c>
      <c r="N186">
        <v>0.39309999999999962</v>
      </c>
      <c r="O186" s="3">
        <v>45782</v>
      </c>
    </row>
    <row r="187" spans="1:15" x14ac:dyDescent="0.25">
      <c r="A187" t="s">
        <v>32</v>
      </c>
      <c r="B187" t="s">
        <v>16</v>
      </c>
      <c r="C187">
        <v>15.49395218952778</v>
      </c>
      <c r="D187" t="s">
        <v>28</v>
      </c>
      <c r="E187" t="s">
        <v>33</v>
      </c>
      <c r="F187" t="s">
        <v>19</v>
      </c>
      <c r="G187" s="2">
        <v>45782</v>
      </c>
      <c r="H187" t="s">
        <v>34</v>
      </c>
      <c r="I187" t="s">
        <v>34</v>
      </c>
      <c r="J187">
        <v>7.8830999999999998</v>
      </c>
      <c r="K187" t="s">
        <v>35</v>
      </c>
      <c r="L187">
        <v>2</v>
      </c>
      <c r="M187">
        <v>7.49</v>
      </c>
      <c r="N187">
        <v>0.39309999999999962</v>
      </c>
      <c r="O187" s="3">
        <v>45782</v>
      </c>
    </row>
    <row r="188" spans="1:15" x14ac:dyDescent="0.25">
      <c r="A188" t="s">
        <v>50</v>
      </c>
      <c r="B188" t="s">
        <v>16</v>
      </c>
      <c r="C188">
        <v>1.9175142055928569</v>
      </c>
      <c r="D188" t="s">
        <v>28</v>
      </c>
      <c r="E188" t="s">
        <v>51</v>
      </c>
      <c r="F188" t="s">
        <v>19</v>
      </c>
      <c r="G188" s="2">
        <v>45782</v>
      </c>
      <c r="H188" t="s">
        <v>52</v>
      </c>
      <c r="I188" t="s">
        <v>52</v>
      </c>
      <c r="J188">
        <v>12.620100000000001</v>
      </c>
      <c r="K188" t="s">
        <v>53</v>
      </c>
      <c r="L188">
        <v>2</v>
      </c>
      <c r="M188">
        <v>7.49</v>
      </c>
      <c r="N188">
        <v>5.1301000000000014</v>
      </c>
      <c r="O188" s="3">
        <v>45782</v>
      </c>
    </row>
    <row r="189" spans="1:15" x14ac:dyDescent="0.25">
      <c r="A189" t="s">
        <v>72</v>
      </c>
      <c r="B189" t="s">
        <v>16</v>
      </c>
      <c r="C189">
        <v>18.871573989976191</v>
      </c>
      <c r="D189" t="s">
        <v>28</v>
      </c>
      <c r="E189" t="s">
        <v>33</v>
      </c>
      <c r="F189" t="s">
        <v>19</v>
      </c>
      <c r="G189" s="2">
        <v>45782</v>
      </c>
      <c r="H189" t="s">
        <v>73</v>
      </c>
      <c r="I189" t="s">
        <v>73</v>
      </c>
      <c r="J189">
        <v>7.5804</v>
      </c>
      <c r="K189" t="s">
        <v>74</v>
      </c>
      <c r="L189">
        <v>2</v>
      </c>
      <c r="M189">
        <v>7.49</v>
      </c>
      <c r="N189">
        <v>9.0399999999999814E-2</v>
      </c>
      <c r="O189" s="3">
        <v>45782</v>
      </c>
    </row>
    <row r="190" spans="1:15" x14ac:dyDescent="0.25">
      <c r="A190" t="s">
        <v>54</v>
      </c>
      <c r="B190" t="s">
        <v>16</v>
      </c>
      <c r="C190">
        <v>15.390440297619049</v>
      </c>
      <c r="D190" t="s">
        <v>28</v>
      </c>
      <c r="E190" t="s">
        <v>40</v>
      </c>
      <c r="F190" t="s">
        <v>19</v>
      </c>
      <c r="G190" s="2">
        <v>45782</v>
      </c>
      <c r="H190" t="s">
        <v>55</v>
      </c>
      <c r="I190" t="s">
        <v>55</v>
      </c>
      <c r="J190">
        <v>8.2566000000000006</v>
      </c>
      <c r="K190" t="s">
        <v>56</v>
      </c>
      <c r="L190">
        <v>2</v>
      </c>
      <c r="M190">
        <v>7.49</v>
      </c>
      <c r="N190">
        <v>0.76660000000000039</v>
      </c>
      <c r="O190" s="3">
        <v>45782</v>
      </c>
    </row>
    <row r="191" spans="1:15" x14ac:dyDescent="0.25">
      <c r="A191" t="s">
        <v>54</v>
      </c>
      <c r="B191" t="s">
        <v>16</v>
      </c>
      <c r="C191">
        <v>13.91437596071429</v>
      </c>
      <c r="D191" t="s">
        <v>28</v>
      </c>
      <c r="E191" t="s">
        <v>40</v>
      </c>
      <c r="F191" t="s">
        <v>19</v>
      </c>
      <c r="G191" s="2">
        <v>45782</v>
      </c>
      <c r="H191" t="s">
        <v>55</v>
      </c>
      <c r="I191" t="s">
        <v>55</v>
      </c>
      <c r="J191">
        <v>8.2566000000000006</v>
      </c>
      <c r="K191" t="s">
        <v>56</v>
      </c>
      <c r="L191">
        <v>2</v>
      </c>
      <c r="M191">
        <v>7.49</v>
      </c>
      <c r="N191">
        <v>0.76660000000000039</v>
      </c>
      <c r="O191" s="3">
        <v>45782</v>
      </c>
    </row>
    <row r="192" spans="1:15" x14ac:dyDescent="0.25">
      <c r="A192" t="s">
        <v>43</v>
      </c>
      <c r="B192" t="s">
        <v>16</v>
      </c>
      <c r="C192">
        <v>5.6738145647749993</v>
      </c>
      <c r="D192" t="s">
        <v>28</v>
      </c>
      <c r="E192" t="s">
        <v>44</v>
      </c>
      <c r="F192" t="s">
        <v>19</v>
      </c>
      <c r="G192" s="2">
        <v>45782</v>
      </c>
      <c r="H192" t="s">
        <v>45</v>
      </c>
      <c r="I192" t="s">
        <v>45</v>
      </c>
      <c r="J192">
        <v>8.4629999999999992</v>
      </c>
      <c r="K192" t="s">
        <v>46</v>
      </c>
      <c r="L192">
        <v>2</v>
      </c>
      <c r="M192">
        <v>7.49</v>
      </c>
      <c r="N192">
        <v>0.97299999999999898</v>
      </c>
      <c r="O192" s="3">
        <v>45782</v>
      </c>
    </row>
    <row r="193" spans="1:15" x14ac:dyDescent="0.25">
      <c r="A193" t="s">
        <v>54</v>
      </c>
      <c r="B193" t="s">
        <v>16</v>
      </c>
      <c r="C193">
        <v>171.1855806428571</v>
      </c>
      <c r="D193" t="s">
        <v>28</v>
      </c>
      <c r="E193" t="s">
        <v>40</v>
      </c>
      <c r="F193" t="s">
        <v>19</v>
      </c>
      <c r="G193" s="2">
        <v>45782</v>
      </c>
      <c r="H193" t="s">
        <v>55</v>
      </c>
      <c r="I193" t="s">
        <v>55</v>
      </c>
      <c r="J193">
        <v>8.2566000000000006</v>
      </c>
      <c r="K193" t="s">
        <v>56</v>
      </c>
      <c r="L193">
        <v>2</v>
      </c>
      <c r="M193">
        <v>7.49</v>
      </c>
      <c r="N193">
        <v>0.76660000000000039</v>
      </c>
      <c r="O193" s="3">
        <v>45782</v>
      </c>
    </row>
    <row r="194" spans="1:15" x14ac:dyDescent="0.25">
      <c r="A194" t="s">
        <v>54</v>
      </c>
      <c r="B194" t="s">
        <v>16</v>
      </c>
      <c r="C194">
        <v>9.9460741095238099</v>
      </c>
      <c r="D194" t="s">
        <v>28</v>
      </c>
      <c r="E194" t="s">
        <v>40</v>
      </c>
      <c r="F194" t="s">
        <v>19</v>
      </c>
      <c r="G194" s="2">
        <v>45782</v>
      </c>
      <c r="H194" t="s">
        <v>55</v>
      </c>
      <c r="I194" t="s">
        <v>55</v>
      </c>
      <c r="J194">
        <v>8.2566000000000006</v>
      </c>
      <c r="K194" t="s">
        <v>56</v>
      </c>
      <c r="L194">
        <v>2</v>
      </c>
      <c r="M194">
        <v>7.49</v>
      </c>
      <c r="N194">
        <v>0.76660000000000039</v>
      </c>
      <c r="O194" s="3">
        <v>45782</v>
      </c>
    </row>
    <row r="195" spans="1:15" x14ac:dyDescent="0.25">
      <c r="A195" t="s">
        <v>54</v>
      </c>
      <c r="B195" t="s">
        <v>16</v>
      </c>
      <c r="C195">
        <v>8.1975962666666682</v>
      </c>
      <c r="D195" t="s">
        <v>28</v>
      </c>
      <c r="E195" t="s">
        <v>40</v>
      </c>
      <c r="F195" t="s">
        <v>19</v>
      </c>
      <c r="G195" s="2">
        <v>45782</v>
      </c>
      <c r="H195" t="s">
        <v>55</v>
      </c>
      <c r="I195" t="s">
        <v>55</v>
      </c>
      <c r="J195">
        <v>8.2566000000000006</v>
      </c>
      <c r="K195" t="s">
        <v>56</v>
      </c>
      <c r="L195">
        <v>2</v>
      </c>
      <c r="M195">
        <v>7.49</v>
      </c>
      <c r="N195">
        <v>0.76660000000000039</v>
      </c>
      <c r="O195" s="3">
        <v>45782</v>
      </c>
    </row>
    <row r="196" spans="1:15" x14ac:dyDescent="0.25">
      <c r="A196" t="s">
        <v>39</v>
      </c>
      <c r="B196" t="s">
        <v>16</v>
      </c>
      <c r="C196">
        <v>6.3131667148126986</v>
      </c>
      <c r="D196" t="s">
        <v>28</v>
      </c>
      <c r="E196" t="s">
        <v>40</v>
      </c>
      <c r="F196" t="s">
        <v>19</v>
      </c>
      <c r="G196" s="2">
        <v>45782</v>
      </c>
      <c r="H196" t="s">
        <v>41</v>
      </c>
      <c r="I196" t="s">
        <v>41</v>
      </c>
      <c r="J196">
        <v>9.9582999999999995</v>
      </c>
      <c r="K196" t="s">
        <v>42</v>
      </c>
      <c r="L196">
        <v>2</v>
      </c>
      <c r="M196">
        <v>7.49</v>
      </c>
      <c r="N196">
        <v>2.4682999999999988</v>
      </c>
      <c r="O196" s="3">
        <v>45782</v>
      </c>
    </row>
    <row r="197" spans="1:15" x14ac:dyDescent="0.25">
      <c r="A197" t="s">
        <v>54</v>
      </c>
      <c r="B197" t="s">
        <v>16</v>
      </c>
      <c r="C197">
        <v>12.242874504761909</v>
      </c>
      <c r="D197" t="s">
        <v>28</v>
      </c>
      <c r="E197" t="s">
        <v>40</v>
      </c>
      <c r="F197" t="s">
        <v>19</v>
      </c>
      <c r="G197" s="2">
        <v>45782</v>
      </c>
      <c r="H197" t="s">
        <v>55</v>
      </c>
      <c r="I197" t="s">
        <v>55</v>
      </c>
      <c r="J197">
        <v>8.2566000000000006</v>
      </c>
      <c r="K197" t="s">
        <v>56</v>
      </c>
      <c r="L197">
        <v>2</v>
      </c>
      <c r="M197">
        <v>7.49</v>
      </c>
      <c r="N197">
        <v>0.76660000000000039</v>
      </c>
      <c r="O197" s="3">
        <v>45782</v>
      </c>
    </row>
    <row r="198" spans="1:15" x14ac:dyDescent="0.25">
      <c r="A198" t="s">
        <v>54</v>
      </c>
      <c r="B198" t="s">
        <v>16</v>
      </c>
      <c r="C198">
        <v>12.18958925238095</v>
      </c>
      <c r="D198" t="s">
        <v>28</v>
      </c>
      <c r="E198" t="s">
        <v>40</v>
      </c>
      <c r="F198" t="s">
        <v>19</v>
      </c>
      <c r="G198" s="2">
        <v>45782</v>
      </c>
      <c r="H198" t="s">
        <v>55</v>
      </c>
      <c r="I198" t="s">
        <v>55</v>
      </c>
      <c r="J198">
        <v>8.2566000000000006</v>
      </c>
      <c r="K198" t="s">
        <v>56</v>
      </c>
      <c r="L198">
        <v>2</v>
      </c>
      <c r="M198">
        <v>7.49</v>
      </c>
      <c r="N198">
        <v>0.76660000000000039</v>
      </c>
      <c r="O198" s="3">
        <v>45782</v>
      </c>
    </row>
    <row r="199" spans="1:15" x14ac:dyDescent="0.25">
      <c r="A199" t="s">
        <v>54</v>
      </c>
      <c r="B199" t="s">
        <v>16</v>
      </c>
      <c r="C199">
        <v>203.1296103964286</v>
      </c>
      <c r="D199" t="s">
        <v>28</v>
      </c>
      <c r="E199" t="s">
        <v>40</v>
      </c>
      <c r="F199" t="s">
        <v>19</v>
      </c>
      <c r="G199" s="2">
        <v>45782</v>
      </c>
      <c r="H199" t="s">
        <v>55</v>
      </c>
      <c r="I199" t="s">
        <v>55</v>
      </c>
      <c r="J199">
        <v>8.2566000000000006</v>
      </c>
      <c r="K199" t="s">
        <v>56</v>
      </c>
      <c r="L199">
        <v>2</v>
      </c>
      <c r="M199">
        <v>7.49</v>
      </c>
      <c r="N199">
        <v>0.76660000000000039</v>
      </c>
      <c r="O199" s="3">
        <v>45782</v>
      </c>
    </row>
    <row r="200" spans="1:15" x14ac:dyDescent="0.25">
      <c r="A200" t="s">
        <v>50</v>
      </c>
      <c r="B200" t="s">
        <v>16</v>
      </c>
      <c r="C200">
        <v>29.15417729037619</v>
      </c>
      <c r="D200" t="s">
        <v>28</v>
      </c>
      <c r="E200" t="s">
        <v>51</v>
      </c>
      <c r="F200" t="s">
        <v>19</v>
      </c>
      <c r="G200" s="2">
        <v>45782</v>
      </c>
      <c r="H200" t="s">
        <v>52</v>
      </c>
      <c r="I200" t="s">
        <v>52</v>
      </c>
      <c r="J200">
        <v>12.620100000000001</v>
      </c>
      <c r="K200" t="s">
        <v>53</v>
      </c>
      <c r="L200">
        <v>2</v>
      </c>
      <c r="M200">
        <v>7.49</v>
      </c>
      <c r="N200">
        <v>5.1301000000000014</v>
      </c>
      <c r="O200" s="3">
        <v>45782</v>
      </c>
    </row>
    <row r="201" spans="1:15" x14ac:dyDescent="0.25">
      <c r="A201" t="s">
        <v>72</v>
      </c>
      <c r="B201" t="s">
        <v>16</v>
      </c>
      <c r="C201">
        <v>4.0436523576428574</v>
      </c>
      <c r="D201" t="s">
        <v>28</v>
      </c>
      <c r="E201" t="s">
        <v>33</v>
      </c>
      <c r="F201" t="s">
        <v>19</v>
      </c>
      <c r="G201" s="2">
        <v>45782</v>
      </c>
      <c r="H201" t="s">
        <v>73</v>
      </c>
      <c r="I201" t="s">
        <v>73</v>
      </c>
      <c r="J201">
        <v>7.5804</v>
      </c>
      <c r="K201" t="s">
        <v>74</v>
      </c>
      <c r="L201">
        <v>2</v>
      </c>
      <c r="M201">
        <v>7.49</v>
      </c>
      <c r="N201">
        <v>9.0399999999999814E-2</v>
      </c>
      <c r="O201" s="3">
        <v>45782</v>
      </c>
    </row>
    <row r="202" spans="1:15" x14ac:dyDescent="0.25">
      <c r="A202" t="s">
        <v>72</v>
      </c>
      <c r="B202" t="s">
        <v>16</v>
      </c>
      <c r="C202">
        <v>0.19490739720833331</v>
      </c>
      <c r="D202" t="s">
        <v>28</v>
      </c>
      <c r="E202" t="s">
        <v>33</v>
      </c>
      <c r="F202" t="s">
        <v>19</v>
      </c>
      <c r="G202" s="2">
        <v>45782</v>
      </c>
      <c r="H202" t="s">
        <v>73</v>
      </c>
      <c r="I202" t="s">
        <v>73</v>
      </c>
      <c r="J202">
        <v>7.5804</v>
      </c>
      <c r="K202" t="s">
        <v>74</v>
      </c>
      <c r="L202">
        <v>2</v>
      </c>
      <c r="M202">
        <v>7.49</v>
      </c>
      <c r="N202">
        <v>9.0399999999999814E-2</v>
      </c>
      <c r="O202" s="3">
        <v>45782</v>
      </c>
    </row>
    <row r="203" spans="1:15" x14ac:dyDescent="0.25">
      <c r="A203" t="s">
        <v>39</v>
      </c>
      <c r="B203" t="s">
        <v>16</v>
      </c>
      <c r="C203">
        <v>5.5981551588063487</v>
      </c>
      <c r="D203" t="s">
        <v>28</v>
      </c>
      <c r="E203" t="s">
        <v>40</v>
      </c>
      <c r="F203" t="s">
        <v>19</v>
      </c>
      <c r="G203" s="2">
        <v>45782</v>
      </c>
      <c r="H203" t="s">
        <v>41</v>
      </c>
      <c r="I203" t="s">
        <v>41</v>
      </c>
      <c r="J203">
        <v>9.9582999999999995</v>
      </c>
      <c r="K203" t="s">
        <v>42</v>
      </c>
      <c r="L203">
        <v>2</v>
      </c>
      <c r="M203">
        <v>7.49</v>
      </c>
      <c r="N203">
        <v>2.4682999999999988</v>
      </c>
      <c r="O203" s="3">
        <v>45782</v>
      </c>
    </row>
    <row r="204" spans="1:15" x14ac:dyDescent="0.25">
      <c r="A204" t="s">
        <v>54</v>
      </c>
      <c r="B204" t="s">
        <v>16</v>
      </c>
      <c r="C204">
        <v>6.9099202124999994</v>
      </c>
      <c r="D204" t="s">
        <v>28</v>
      </c>
      <c r="E204" t="s">
        <v>40</v>
      </c>
      <c r="F204" t="s">
        <v>19</v>
      </c>
      <c r="G204" s="2">
        <v>45782</v>
      </c>
      <c r="H204" t="s">
        <v>55</v>
      </c>
      <c r="I204" t="s">
        <v>55</v>
      </c>
      <c r="J204">
        <v>8.2566000000000006</v>
      </c>
      <c r="K204" t="s">
        <v>56</v>
      </c>
      <c r="L204">
        <v>2</v>
      </c>
      <c r="M204">
        <v>7.49</v>
      </c>
      <c r="N204">
        <v>0.76660000000000039</v>
      </c>
      <c r="O204" s="3">
        <v>45782</v>
      </c>
    </row>
    <row r="205" spans="1:15" x14ac:dyDescent="0.25">
      <c r="A205" t="s">
        <v>75</v>
      </c>
      <c r="B205" t="s">
        <v>16</v>
      </c>
      <c r="C205">
        <v>26.108419380209529</v>
      </c>
      <c r="D205" t="s">
        <v>76</v>
      </c>
      <c r="E205" t="s">
        <v>77</v>
      </c>
      <c r="F205" t="s">
        <v>19</v>
      </c>
      <c r="G205" s="2">
        <v>45782</v>
      </c>
      <c r="H205" t="s">
        <v>78</v>
      </c>
      <c r="I205" t="s">
        <v>78</v>
      </c>
      <c r="J205">
        <v>8.0670000000000002</v>
      </c>
      <c r="K205" t="s">
        <v>79</v>
      </c>
      <c r="L205">
        <v>2</v>
      </c>
      <c r="M205">
        <v>7.51</v>
      </c>
      <c r="N205">
        <v>0.55700000000000038</v>
      </c>
      <c r="O205" s="3">
        <v>45782</v>
      </c>
    </row>
    <row r="206" spans="1:15" x14ac:dyDescent="0.25">
      <c r="A206" t="s">
        <v>75</v>
      </c>
      <c r="B206" t="s">
        <v>16</v>
      </c>
      <c r="C206">
        <v>24.266829580680561</v>
      </c>
      <c r="D206" t="s">
        <v>76</v>
      </c>
      <c r="E206" t="s">
        <v>77</v>
      </c>
      <c r="F206" t="s">
        <v>19</v>
      </c>
      <c r="G206" s="2">
        <v>45782</v>
      </c>
      <c r="H206" t="s">
        <v>78</v>
      </c>
      <c r="I206" t="s">
        <v>78</v>
      </c>
      <c r="J206">
        <v>8.0670000000000002</v>
      </c>
      <c r="K206" t="s">
        <v>79</v>
      </c>
      <c r="L206">
        <v>2</v>
      </c>
      <c r="M206">
        <v>7.51</v>
      </c>
      <c r="N206">
        <v>0.55700000000000038</v>
      </c>
      <c r="O206" s="3">
        <v>45782</v>
      </c>
    </row>
    <row r="207" spans="1:15" x14ac:dyDescent="0.25">
      <c r="A207" t="s">
        <v>75</v>
      </c>
      <c r="B207" t="s">
        <v>16</v>
      </c>
      <c r="C207">
        <v>7.267647493557539</v>
      </c>
      <c r="D207" t="s">
        <v>76</v>
      </c>
      <c r="E207" t="s">
        <v>77</v>
      </c>
      <c r="F207" t="s">
        <v>19</v>
      </c>
      <c r="G207" s="2">
        <v>45782</v>
      </c>
      <c r="H207" t="s">
        <v>78</v>
      </c>
      <c r="I207" t="s">
        <v>78</v>
      </c>
      <c r="J207">
        <v>8.0670000000000002</v>
      </c>
      <c r="K207" t="s">
        <v>79</v>
      </c>
      <c r="L207">
        <v>2</v>
      </c>
      <c r="M207">
        <v>7.51</v>
      </c>
      <c r="N207">
        <v>0.55700000000000038</v>
      </c>
      <c r="O207" s="3">
        <v>45782</v>
      </c>
    </row>
    <row r="208" spans="1:15" x14ac:dyDescent="0.25">
      <c r="A208" t="s">
        <v>75</v>
      </c>
      <c r="B208" t="s">
        <v>16</v>
      </c>
      <c r="C208">
        <v>25.79351613475</v>
      </c>
      <c r="D208" t="s">
        <v>76</v>
      </c>
      <c r="E208" t="s">
        <v>77</v>
      </c>
      <c r="F208" t="s">
        <v>19</v>
      </c>
      <c r="G208" s="2">
        <v>45782</v>
      </c>
      <c r="H208" t="s">
        <v>78</v>
      </c>
      <c r="I208" t="s">
        <v>78</v>
      </c>
      <c r="J208">
        <v>8.0670000000000002</v>
      </c>
      <c r="K208" t="s">
        <v>79</v>
      </c>
      <c r="L208">
        <v>2</v>
      </c>
      <c r="M208">
        <v>7.51</v>
      </c>
      <c r="N208">
        <v>0.55700000000000038</v>
      </c>
      <c r="O208" s="3">
        <v>45782</v>
      </c>
    </row>
    <row r="209" spans="1:15" x14ac:dyDescent="0.25">
      <c r="A209" t="s">
        <v>75</v>
      </c>
      <c r="B209" t="s">
        <v>16</v>
      </c>
      <c r="C209">
        <v>3.7366047512400802</v>
      </c>
      <c r="D209" t="s">
        <v>76</v>
      </c>
      <c r="E209" t="s">
        <v>77</v>
      </c>
      <c r="F209" t="s">
        <v>19</v>
      </c>
      <c r="G209" s="2">
        <v>45782</v>
      </c>
      <c r="H209" t="s">
        <v>78</v>
      </c>
      <c r="I209" t="s">
        <v>78</v>
      </c>
      <c r="J209">
        <v>8.0670000000000002</v>
      </c>
      <c r="K209" t="s">
        <v>79</v>
      </c>
      <c r="L209">
        <v>2</v>
      </c>
      <c r="M209">
        <v>7.51</v>
      </c>
      <c r="N209">
        <v>0.55700000000000038</v>
      </c>
      <c r="O209" s="3">
        <v>45782</v>
      </c>
    </row>
    <row r="210" spans="1:15" x14ac:dyDescent="0.25">
      <c r="A210" t="s">
        <v>75</v>
      </c>
      <c r="B210" t="s">
        <v>16</v>
      </c>
      <c r="C210">
        <v>20.173123164938101</v>
      </c>
      <c r="D210" t="s">
        <v>76</v>
      </c>
      <c r="E210" t="s">
        <v>77</v>
      </c>
      <c r="F210" t="s">
        <v>19</v>
      </c>
      <c r="G210" s="2">
        <v>45782</v>
      </c>
      <c r="H210" t="s">
        <v>78</v>
      </c>
      <c r="I210" t="s">
        <v>78</v>
      </c>
      <c r="J210">
        <v>8.0670000000000002</v>
      </c>
      <c r="K210" t="s">
        <v>79</v>
      </c>
      <c r="L210">
        <v>2</v>
      </c>
      <c r="M210">
        <v>7.51</v>
      </c>
      <c r="N210">
        <v>0.55700000000000038</v>
      </c>
      <c r="O210" s="3">
        <v>45782</v>
      </c>
    </row>
    <row r="211" spans="1:15" x14ac:dyDescent="0.25">
      <c r="A211" t="s">
        <v>75</v>
      </c>
      <c r="B211" t="s">
        <v>16</v>
      </c>
      <c r="C211">
        <v>13.276929519234921</v>
      </c>
      <c r="D211" t="s">
        <v>76</v>
      </c>
      <c r="E211" t="s">
        <v>77</v>
      </c>
      <c r="F211" t="s">
        <v>19</v>
      </c>
      <c r="G211" s="2">
        <v>45782</v>
      </c>
      <c r="H211" t="s">
        <v>78</v>
      </c>
      <c r="I211" t="s">
        <v>78</v>
      </c>
      <c r="J211">
        <v>8.0670000000000002</v>
      </c>
      <c r="K211" t="s">
        <v>79</v>
      </c>
      <c r="L211">
        <v>2</v>
      </c>
      <c r="M211">
        <v>7.51</v>
      </c>
      <c r="N211">
        <v>0.55700000000000038</v>
      </c>
      <c r="O211" s="3">
        <v>45782</v>
      </c>
    </row>
    <row r="212" spans="1:15" x14ac:dyDescent="0.25">
      <c r="A212" t="s">
        <v>75</v>
      </c>
      <c r="B212" t="s">
        <v>16</v>
      </c>
      <c r="C212">
        <v>18.304609846930951</v>
      </c>
      <c r="D212" t="s">
        <v>76</v>
      </c>
      <c r="E212" t="s">
        <v>77</v>
      </c>
      <c r="F212" t="s">
        <v>19</v>
      </c>
      <c r="G212" s="2">
        <v>45782</v>
      </c>
      <c r="H212" t="s">
        <v>78</v>
      </c>
      <c r="I212" t="s">
        <v>78</v>
      </c>
      <c r="J212">
        <v>8.0670000000000002</v>
      </c>
      <c r="K212" t="s">
        <v>79</v>
      </c>
      <c r="L212">
        <v>2</v>
      </c>
      <c r="M212">
        <v>7.51</v>
      </c>
      <c r="N212">
        <v>0.55700000000000038</v>
      </c>
      <c r="O212" s="3">
        <v>45782</v>
      </c>
    </row>
    <row r="213" spans="1:15" x14ac:dyDescent="0.25">
      <c r="A213" t="s">
        <v>75</v>
      </c>
      <c r="B213" t="s">
        <v>16</v>
      </c>
      <c r="C213">
        <v>16.112911876357138</v>
      </c>
      <c r="D213" t="s">
        <v>76</v>
      </c>
      <c r="E213" t="s">
        <v>77</v>
      </c>
      <c r="F213" t="s">
        <v>19</v>
      </c>
      <c r="G213" s="2">
        <v>45782</v>
      </c>
      <c r="H213" t="s">
        <v>78</v>
      </c>
      <c r="I213" t="s">
        <v>78</v>
      </c>
      <c r="J213">
        <v>8.0670000000000002</v>
      </c>
      <c r="K213" t="s">
        <v>79</v>
      </c>
      <c r="L213">
        <v>2</v>
      </c>
      <c r="M213">
        <v>7.51</v>
      </c>
      <c r="N213">
        <v>0.55700000000000038</v>
      </c>
      <c r="O213" s="3">
        <v>45782</v>
      </c>
    </row>
    <row r="214" spans="1:15" x14ac:dyDescent="0.25">
      <c r="A214" t="s">
        <v>75</v>
      </c>
      <c r="B214" t="s">
        <v>16</v>
      </c>
      <c r="C214">
        <v>10.60877589142857</v>
      </c>
      <c r="D214" t="s">
        <v>76</v>
      </c>
      <c r="E214" t="s">
        <v>77</v>
      </c>
      <c r="F214" t="s">
        <v>19</v>
      </c>
      <c r="G214" s="2">
        <v>45782</v>
      </c>
      <c r="H214" t="s">
        <v>78</v>
      </c>
      <c r="I214" t="s">
        <v>78</v>
      </c>
      <c r="J214">
        <v>8.0670000000000002</v>
      </c>
      <c r="K214" t="s">
        <v>79</v>
      </c>
      <c r="L214">
        <v>2</v>
      </c>
      <c r="M214">
        <v>7.51</v>
      </c>
      <c r="N214">
        <v>0.55700000000000038</v>
      </c>
      <c r="O214" s="3">
        <v>45782</v>
      </c>
    </row>
    <row r="215" spans="1:15" x14ac:dyDescent="0.25">
      <c r="A215" t="s">
        <v>75</v>
      </c>
      <c r="B215" t="s">
        <v>16</v>
      </c>
      <c r="C215">
        <v>23.355828596376188</v>
      </c>
      <c r="D215" t="s">
        <v>76</v>
      </c>
      <c r="E215" t="s">
        <v>77</v>
      </c>
      <c r="F215" t="s">
        <v>19</v>
      </c>
      <c r="G215" s="2">
        <v>45782</v>
      </c>
      <c r="H215" t="s">
        <v>78</v>
      </c>
      <c r="I215" t="s">
        <v>78</v>
      </c>
      <c r="J215">
        <v>8.0670000000000002</v>
      </c>
      <c r="K215" t="s">
        <v>79</v>
      </c>
      <c r="L215">
        <v>2</v>
      </c>
      <c r="M215">
        <v>7.51</v>
      </c>
      <c r="N215">
        <v>0.55700000000000038</v>
      </c>
      <c r="O215" s="3">
        <v>45782</v>
      </c>
    </row>
    <row r="216" spans="1:15" x14ac:dyDescent="0.25">
      <c r="A216" t="s">
        <v>75</v>
      </c>
      <c r="B216" t="s">
        <v>16</v>
      </c>
      <c r="C216">
        <v>21.545077139630159</v>
      </c>
      <c r="D216" t="s">
        <v>76</v>
      </c>
      <c r="E216" t="s">
        <v>77</v>
      </c>
      <c r="F216" t="s">
        <v>19</v>
      </c>
      <c r="G216" s="2">
        <v>45782</v>
      </c>
      <c r="H216" t="s">
        <v>78</v>
      </c>
      <c r="I216" t="s">
        <v>78</v>
      </c>
      <c r="J216">
        <v>8.0670000000000002</v>
      </c>
      <c r="K216" t="s">
        <v>79</v>
      </c>
      <c r="L216">
        <v>2</v>
      </c>
      <c r="M216">
        <v>7.51</v>
      </c>
      <c r="N216">
        <v>0.55700000000000038</v>
      </c>
      <c r="O216" s="3">
        <v>45782</v>
      </c>
    </row>
    <row r="217" spans="1:15" x14ac:dyDescent="0.25">
      <c r="A217" t="s">
        <v>80</v>
      </c>
      <c r="B217" t="s">
        <v>16</v>
      </c>
      <c r="C217">
        <v>15.615694092625001</v>
      </c>
      <c r="D217" t="s">
        <v>76</v>
      </c>
      <c r="E217" t="s">
        <v>81</v>
      </c>
      <c r="F217" t="s">
        <v>19</v>
      </c>
      <c r="G217" s="2">
        <v>45782</v>
      </c>
      <c r="H217" t="s">
        <v>82</v>
      </c>
      <c r="I217" t="s">
        <v>82</v>
      </c>
      <c r="J217">
        <v>8.0713000000000008</v>
      </c>
      <c r="K217" t="s">
        <v>83</v>
      </c>
      <c r="L217">
        <v>2</v>
      </c>
      <c r="M217">
        <v>7.51</v>
      </c>
      <c r="N217">
        <v>0.56130000000000102</v>
      </c>
      <c r="O217" s="3">
        <v>45782</v>
      </c>
    </row>
    <row r="218" spans="1:15" x14ac:dyDescent="0.25">
      <c r="A218" t="s">
        <v>80</v>
      </c>
      <c r="B218" t="s">
        <v>16</v>
      </c>
      <c r="C218">
        <v>12.47240154306667</v>
      </c>
      <c r="D218" t="s">
        <v>76</v>
      </c>
      <c r="E218" t="s">
        <v>81</v>
      </c>
      <c r="F218" t="s">
        <v>19</v>
      </c>
      <c r="G218" s="2">
        <v>45782</v>
      </c>
      <c r="H218" t="s">
        <v>82</v>
      </c>
      <c r="I218" t="s">
        <v>82</v>
      </c>
      <c r="J218">
        <v>8.0713000000000008</v>
      </c>
      <c r="K218" t="s">
        <v>83</v>
      </c>
      <c r="L218">
        <v>2</v>
      </c>
      <c r="M218">
        <v>7.51</v>
      </c>
      <c r="N218">
        <v>0.56130000000000102</v>
      </c>
      <c r="O218" s="3">
        <v>45782</v>
      </c>
    </row>
    <row r="219" spans="1:15" x14ac:dyDescent="0.25">
      <c r="A219" t="s">
        <v>80</v>
      </c>
      <c r="B219" t="s">
        <v>16</v>
      </c>
      <c r="C219">
        <v>20.026756126483331</v>
      </c>
      <c r="D219" t="s">
        <v>76</v>
      </c>
      <c r="E219" t="s">
        <v>81</v>
      </c>
      <c r="F219" t="s">
        <v>19</v>
      </c>
      <c r="G219" s="2">
        <v>45782</v>
      </c>
      <c r="H219" t="s">
        <v>82</v>
      </c>
      <c r="I219" t="s">
        <v>82</v>
      </c>
      <c r="J219">
        <v>8.0713000000000008</v>
      </c>
      <c r="K219" t="s">
        <v>83</v>
      </c>
      <c r="L219">
        <v>2</v>
      </c>
      <c r="M219">
        <v>7.51</v>
      </c>
      <c r="N219">
        <v>0.56130000000000102</v>
      </c>
      <c r="O219" s="3">
        <v>45782</v>
      </c>
    </row>
    <row r="220" spans="1:15" x14ac:dyDescent="0.25">
      <c r="A220" t="s">
        <v>80</v>
      </c>
      <c r="B220" t="s">
        <v>16</v>
      </c>
      <c r="C220">
        <v>17.953720376939291</v>
      </c>
      <c r="D220" t="s">
        <v>76</v>
      </c>
      <c r="E220" t="s">
        <v>81</v>
      </c>
      <c r="F220" t="s">
        <v>19</v>
      </c>
      <c r="G220" s="2">
        <v>45782</v>
      </c>
      <c r="H220" t="s">
        <v>82</v>
      </c>
      <c r="I220" t="s">
        <v>82</v>
      </c>
      <c r="J220">
        <v>8.0713000000000008</v>
      </c>
      <c r="K220" t="s">
        <v>83</v>
      </c>
      <c r="L220">
        <v>2</v>
      </c>
      <c r="M220">
        <v>7.51</v>
      </c>
      <c r="N220">
        <v>0.56130000000000102</v>
      </c>
      <c r="O220" s="3">
        <v>45782</v>
      </c>
    </row>
    <row r="221" spans="1:15" x14ac:dyDescent="0.25">
      <c r="A221" t="s">
        <v>75</v>
      </c>
      <c r="B221" t="s">
        <v>16</v>
      </c>
      <c r="C221">
        <v>74.245773896567059</v>
      </c>
      <c r="D221" t="s">
        <v>76</v>
      </c>
      <c r="E221" t="s">
        <v>77</v>
      </c>
      <c r="F221" t="s">
        <v>19</v>
      </c>
      <c r="G221" s="2">
        <v>45782</v>
      </c>
      <c r="H221" t="s">
        <v>78</v>
      </c>
      <c r="I221" t="s">
        <v>78</v>
      </c>
      <c r="J221">
        <v>8.0670000000000002</v>
      </c>
      <c r="K221" t="s">
        <v>79</v>
      </c>
      <c r="L221">
        <v>2</v>
      </c>
      <c r="M221">
        <v>7.51</v>
      </c>
      <c r="N221">
        <v>0.55700000000000038</v>
      </c>
      <c r="O221" s="3">
        <v>45782</v>
      </c>
    </row>
    <row r="222" spans="1:15" x14ac:dyDescent="0.25">
      <c r="A222" t="s">
        <v>80</v>
      </c>
      <c r="B222" t="s">
        <v>16</v>
      </c>
      <c r="C222">
        <v>3.4061963933511912</v>
      </c>
      <c r="D222" t="s">
        <v>76</v>
      </c>
      <c r="E222" t="s">
        <v>81</v>
      </c>
      <c r="F222" t="s">
        <v>19</v>
      </c>
      <c r="G222" s="2">
        <v>45782</v>
      </c>
      <c r="H222" t="s">
        <v>82</v>
      </c>
      <c r="I222" t="s">
        <v>82</v>
      </c>
      <c r="J222">
        <v>8.0713000000000008</v>
      </c>
      <c r="K222" t="s">
        <v>83</v>
      </c>
      <c r="L222">
        <v>2</v>
      </c>
      <c r="M222">
        <v>7.51</v>
      </c>
      <c r="N222">
        <v>0.56130000000000102</v>
      </c>
      <c r="O222" s="3">
        <v>45782</v>
      </c>
    </row>
    <row r="223" spans="1:15" x14ac:dyDescent="0.25">
      <c r="A223" t="s">
        <v>80</v>
      </c>
      <c r="B223" t="s">
        <v>16</v>
      </c>
      <c r="C223">
        <v>9.9294943777857139</v>
      </c>
      <c r="D223" t="s">
        <v>76</v>
      </c>
      <c r="E223" t="s">
        <v>81</v>
      </c>
      <c r="F223" t="s">
        <v>19</v>
      </c>
      <c r="G223" s="2">
        <v>45782</v>
      </c>
      <c r="H223" t="s">
        <v>82</v>
      </c>
      <c r="I223" t="s">
        <v>82</v>
      </c>
      <c r="J223">
        <v>8.0713000000000008</v>
      </c>
      <c r="K223" t="s">
        <v>83</v>
      </c>
      <c r="L223">
        <v>2</v>
      </c>
      <c r="M223">
        <v>7.51</v>
      </c>
      <c r="N223">
        <v>0.56130000000000102</v>
      </c>
      <c r="O223" s="3">
        <v>45782</v>
      </c>
    </row>
    <row r="224" spans="1:15" x14ac:dyDescent="0.25">
      <c r="A224" t="s">
        <v>80</v>
      </c>
      <c r="B224" t="s">
        <v>16</v>
      </c>
      <c r="C224">
        <v>6.6499037190666677</v>
      </c>
      <c r="D224" t="s">
        <v>76</v>
      </c>
      <c r="E224" t="s">
        <v>81</v>
      </c>
      <c r="F224" t="s">
        <v>19</v>
      </c>
      <c r="G224" s="2">
        <v>45782</v>
      </c>
      <c r="H224" t="s">
        <v>82</v>
      </c>
      <c r="I224" t="s">
        <v>82</v>
      </c>
      <c r="J224">
        <v>8.0713000000000008</v>
      </c>
      <c r="K224" t="s">
        <v>83</v>
      </c>
      <c r="L224">
        <v>2</v>
      </c>
      <c r="M224">
        <v>7.51</v>
      </c>
      <c r="N224">
        <v>0.56130000000000102</v>
      </c>
      <c r="O224" s="3">
        <v>45782</v>
      </c>
    </row>
    <row r="225" spans="1:15" x14ac:dyDescent="0.25">
      <c r="A225" t="s">
        <v>84</v>
      </c>
      <c r="B225" t="s">
        <v>16</v>
      </c>
      <c r="C225">
        <v>5.443336706027778</v>
      </c>
      <c r="D225" t="s">
        <v>76</v>
      </c>
      <c r="E225" t="s">
        <v>85</v>
      </c>
      <c r="F225" t="s">
        <v>19</v>
      </c>
      <c r="G225" s="2">
        <v>45782</v>
      </c>
      <c r="H225" t="s">
        <v>86</v>
      </c>
      <c r="I225" t="s">
        <v>86</v>
      </c>
      <c r="J225">
        <v>8.1516999999999999</v>
      </c>
      <c r="K225" t="s">
        <v>87</v>
      </c>
      <c r="L225">
        <v>2</v>
      </c>
      <c r="M225">
        <v>7.51</v>
      </c>
      <c r="N225">
        <v>0.64170000000000016</v>
      </c>
      <c r="O225" s="3">
        <v>45782</v>
      </c>
    </row>
    <row r="226" spans="1:15" x14ac:dyDescent="0.25">
      <c r="A226" t="s">
        <v>84</v>
      </c>
      <c r="B226" t="s">
        <v>16</v>
      </c>
      <c r="C226">
        <v>10.623434762166671</v>
      </c>
      <c r="D226" t="s">
        <v>76</v>
      </c>
      <c r="E226" t="s">
        <v>85</v>
      </c>
      <c r="F226" t="s">
        <v>19</v>
      </c>
      <c r="G226" s="2">
        <v>45782</v>
      </c>
      <c r="H226" t="s">
        <v>86</v>
      </c>
      <c r="I226" t="s">
        <v>86</v>
      </c>
      <c r="J226">
        <v>8.1516999999999999</v>
      </c>
      <c r="K226" t="s">
        <v>87</v>
      </c>
      <c r="L226">
        <v>2</v>
      </c>
      <c r="M226">
        <v>7.51</v>
      </c>
      <c r="N226">
        <v>0.64170000000000016</v>
      </c>
      <c r="O226" s="3">
        <v>45782</v>
      </c>
    </row>
    <row r="227" spans="1:15" x14ac:dyDescent="0.25">
      <c r="A227" t="s">
        <v>80</v>
      </c>
      <c r="B227" t="s">
        <v>16</v>
      </c>
      <c r="C227">
        <v>18.232300460628569</v>
      </c>
      <c r="D227" t="s">
        <v>76</v>
      </c>
      <c r="E227" t="s">
        <v>81</v>
      </c>
      <c r="F227" t="s">
        <v>19</v>
      </c>
      <c r="G227" s="2">
        <v>45782</v>
      </c>
      <c r="H227" t="s">
        <v>82</v>
      </c>
      <c r="I227" t="s">
        <v>82</v>
      </c>
      <c r="J227">
        <v>8.0713000000000008</v>
      </c>
      <c r="K227" t="s">
        <v>83</v>
      </c>
      <c r="L227">
        <v>2</v>
      </c>
      <c r="M227">
        <v>7.51</v>
      </c>
      <c r="N227">
        <v>0.56130000000000102</v>
      </c>
      <c r="O227" s="3">
        <v>45782</v>
      </c>
    </row>
    <row r="228" spans="1:15" x14ac:dyDescent="0.25">
      <c r="A228" t="s">
        <v>80</v>
      </c>
      <c r="B228" t="s">
        <v>16</v>
      </c>
      <c r="C228">
        <v>180.81949145542859</v>
      </c>
      <c r="D228" t="s">
        <v>76</v>
      </c>
      <c r="E228" t="s">
        <v>81</v>
      </c>
      <c r="F228" t="s">
        <v>19</v>
      </c>
      <c r="G228" s="2">
        <v>45782</v>
      </c>
      <c r="H228" t="s">
        <v>82</v>
      </c>
      <c r="I228" t="s">
        <v>82</v>
      </c>
      <c r="J228">
        <v>8.0713000000000008</v>
      </c>
      <c r="K228" t="s">
        <v>83</v>
      </c>
      <c r="L228">
        <v>2</v>
      </c>
      <c r="M228">
        <v>7.51</v>
      </c>
      <c r="N228">
        <v>0.56130000000000102</v>
      </c>
      <c r="O228" s="3">
        <v>45782</v>
      </c>
    </row>
    <row r="229" spans="1:15" x14ac:dyDescent="0.25">
      <c r="A229" t="s">
        <v>84</v>
      </c>
      <c r="B229" t="s">
        <v>16</v>
      </c>
      <c r="C229">
        <v>24.918161059166671</v>
      </c>
      <c r="D229" t="s">
        <v>76</v>
      </c>
      <c r="E229" t="s">
        <v>85</v>
      </c>
      <c r="F229" t="s">
        <v>19</v>
      </c>
      <c r="G229" s="2">
        <v>45782</v>
      </c>
      <c r="H229" t="s">
        <v>86</v>
      </c>
      <c r="I229" t="s">
        <v>86</v>
      </c>
      <c r="J229">
        <v>8.1516999999999999</v>
      </c>
      <c r="K229" t="s">
        <v>87</v>
      </c>
      <c r="L229">
        <v>2</v>
      </c>
      <c r="M229">
        <v>7.51</v>
      </c>
      <c r="N229">
        <v>0.64170000000000016</v>
      </c>
      <c r="O229" s="3">
        <v>45782</v>
      </c>
    </row>
    <row r="230" spans="1:15" x14ac:dyDescent="0.25">
      <c r="A230" t="s">
        <v>84</v>
      </c>
      <c r="B230" t="s">
        <v>16</v>
      </c>
      <c r="C230">
        <v>15.85647169502778</v>
      </c>
      <c r="D230" t="s">
        <v>76</v>
      </c>
      <c r="E230" t="s">
        <v>85</v>
      </c>
      <c r="F230" t="s">
        <v>19</v>
      </c>
      <c r="G230" s="2">
        <v>45782</v>
      </c>
      <c r="H230" t="s">
        <v>86</v>
      </c>
      <c r="I230" t="s">
        <v>86</v>
      </c>
      <c r="J230">
        <v>8.1516999999999999</v>
      </c>
      <c r="K230" t="s">
        <v>87</v>
      </c>
      <c r="L230">
        <v>2</v>
      </c>
      <c r="M230">
        <v>7.51</v>
      </c>
      <c r="N230">
        <v>0.64170000000000016</v>
      </c>
      <c r="O230" s="3">
        <v>45782</v>
      </c>
    </row>
    <row r="231" spans="1:15" x14ac:dyDescent="0.25">
      <c r="A231" t="s">
        <v>84</v>
      </c>
      <c r="B231" t="s">
        <v>16</v>
      </c>
      <c r="C231">
        <v>19.910624078755561</v>
      </c>
      <c r="D231" t="s">
        <v>76</v>
      </c>
      <c r="E231" t="s">
        <v>85</v>
      </c>
      <c r="F231" t="s">
        <v>19</v>
      </c>
      <c r="G231" s="2">
        <v>45782</v>
      </c>
      <c r="H231" t="s">
        <v>86</v>
      </c>
      <c r="I231" t="s">
        <v>86</v>
      </c>
      <c r="J231">
        <v>8.1516999999999999</v>
      </c>
      <c r="K231" t="s">
        <v>87</v>
      </c>
      <c r="L231">
        <v>2</v>
      </c>
      <c r="M231">
        <v>7.51</v>
      </c>
      <c r="N231">
        <v>0.64170000000000016</v>
      </c>
      <c r="O231" s="3">
        <v>45782</v>
      </c>
    </row>
    <row r="232" spans="1:15" x14ac:dyDescent="0.25">
      <c r="A232" t="s">
        <v>80</v>
      </c>
      <c r="B232" t="s">
        <v>16</v>
      </c>
      <c r="C232">
        <v>189.95308899579049</v>
      </c>
      <c r="D232" t="s">
        <v>76</v>
      </c>
      <c r="E232" t="s">
        <v>81</v>
      </c>
      <c r="F232" t="s">
        <v>19</v>
      </c>
      <c r="G232" s="2">
        <v>45782</v>
      </c>
      <c r="H232" t="s">
        <v>82</v>
      </c>
      <c r="I232" t="s">
        <v>82</v>
      </c>
      <c r="J232">
        <v>8.0713000000000008</v>
      </c>
      <c r="K232" t="s">
        <v>83</v>
      </c>
      <c r="L232">
        <v>2</v>
      </c>
      <c r="M232">
        <v>7.51</v>
      </c>
      <c r="N232">
        <v>0.56130000000000102</v>
      </c>
      <c r="O232" s="3">
        <v>45782</v>
      </c>
    </row>
    <row r="233" spans="1:15" x14ac:dyDescent="0.25">
      <c r="A233" t="s">
        <v>80</v>
      </c>
      <c r="B233" t="s">
        <v>16</v>
      </c>
      <c r="C233">
        <v>196.1419399557619</v>
      </c>
      <c r="D233" t="s">
        <v>76</v>
      </c>
      <c r="E233" t="s">
        <v>81</v>
      </c>
      <c r="F233" t="s">
        <v>19</v>
      </c>
      <c r="G233" s="2">
        <v>45782</v>
      </c>
      <c r="H233" t="s">
        <v>82</v>
      </c>
      <c r="I233" t="s">
        <v>82</v>
      </c>
      <c r="J233">
        <v>8.0713000000000008</v>
      </c>
      <c r="K233" t="s">
        <v>83</v>
      </c>
      <c r="L233">
        <v>2</v>
      </c>
      <c r="M233">
        <v>7.51</v>
      </c>
      <c r="N233">
        <v>0.56130000000000102</v>
      </c>
      <c r="O233" s="3">
        <v>45782</v>
      </c>
    </row>
    <row r="234" spans="1:15" x14ac:dyDescent="0.25">
      <c r="A234" t="s">
        <v>80</v>
      </c>
      <c r="B234" t="s">
        <v>16</v>
      </c>
      <c r="C234">
        <v>194.83741926945481</v>
      </c>
      <c r="D234" t="s">
        <v>76</v>
      </c>
      <c r="E234" t="s">
        <v>81</v>
      </c>
      <c r="F234" t="s">
        <v>19</v>
      </c>
      <c r="G234" s="2">
        <v>45782</v>
      </c>
      <c r="H234" t="s">
        <v>82</v>
      </c>
      <c r="I234" t="s">
        <v>82</v>
      </c>
      <c r="J234">
        <v>8.0713000000000008</v>
      </c>
      <c r="K234" t="s">
        <v>83</v>
      </c>
      <c r="L234">
        <v>2</v>
      </c>
      <c r="M234">
        <v>7.51</v>
      </c>
      <c r="N234">
        <v>0.56130000000000102</v>
      </c>
      <c r="O234" s="3">
        <v>45782</v>
      </c>
    </row>
    <row r="235" spans="1:15" x14ac:dyDescent="0.25">
      <c r="A235" t="s">
        <v>80</v>
      </c>
      <c r="B235" t="s">
        <v>16</v>
      </c>
      <c r="C235">
        <v>6.7178693282380957</v>
      </c>
      <c r="D235" t="s">
        <v>76</v>
      </c>
      <c r="E235" t="s">
        <v>81</v>
      </c>
      <c r="F235" t="s">
        <v>19</v>
      </c>
      <c r="G235" s="2">
        <v>45782</v>
      </c>
      <c r="H235" t="s">
        <v>82</v>
      </c>
      <c r="I235" t="s">
        <v>82</v>
      </c>
      <c r="J235">
        <v>8.0713000000000008</v>
      </c>
      <c r="K235" t="s">
        <v>83</v>
      </c>
      <c r="L235">
        <v>2</v>
      </c>
      <c r="M235">
        <v>7.51</v>
      </c>
      <c r="N235">
        <v>0.56130000000000102</v>
      </c>
      <c r="O235" s="3">
        <v>45782</v>
      </c>
    </row>
    <row r="236" spans="1:15" x14ac:dyDescent="0.25">
      <c r="A236" t="s">
        <v>80</v>
      </c>
      <c r="B236" t="s">
        <v>16</v>
      </c>
      <c r="C236">
        <v>12.89756521533333</v>
      </c>
      <c r="D236" t="s">
        <v>76</v>
      </c>
      <c r="E236" t="s">
        <v>81</v>
      </c>
      <c r="F236" t="s">
        <v>19</v>
      </c>
      <c r="G236" s="2">
        <v>45782</v>
      </c>
      <c r="H236" t="s">
        <v>82</v>
      </c>
      <c r="I236" t="s">
        <v>82</v>
      </c>
      <c r="J236">
        <v>8.0713000000000008</v>
      </c>
      <c r="K236" t="s">
        <v>83</v>
      </c>
      <c r="L236">
        <v>2</v>
      </c>
      <c r="M236">
        <v>7.51</v>
      </c>
      <c r="N236">
        <v>0.56130000000000102</v>
      </c>
      <c r="O236" s="3">
        <v>45782</v>
      </c>
    </row>
    <row r="237" spans="1:15" x14ac:dyDescent="0.25">
      <c r="A237" t="s">
        <v>84</v>
      </c>
      <c r="B237" t="s">
        <v>16</v>
      </c>
      <c r="C237">
        <v>28.63861332041667</v>
      </c>
      <c r="D237" t="s">
        <v>76</v>
      </c>
      <c r="E237" t="s">
        <v>85</v>
      </c>
      <c r="F237" t="s">
        <v>19</v>
      </c>
      <c r="G237" s="2">
        <v>45782</v>
      </c>
      <c r="H237" t="s">
        <v>86</v>
      </c>
      <c r="I237" t="s">
        <v>86</v>
      </c>
      <c r="J237">
        <v>8.1516999999999999</v>
      </c>
      <c r="K237" t="s">
        <v>87</v>
      </c>
      <c r="L237">
        <v>2</v>
      </c>
      <c r="M237">
        <v>7.51</v>
      </c>
      <c r="N237">
        <v>0.64170000000000016</v>
      </c>
      <c r="O237" s="3">
        <v>45782</v>
      </c>
    </row>
    <row r="238" spans="1:15" x14ac:dyDescent="0.25">
      <c r="A238" t="s">
        <v>84</v>
      </c>
      <c r="B238" t="s">
        <v>16</v>
      </c>
      <c r="C238">
        <v>547.50715718355559</v>
      </c>
      <c r="D238" t="s">
        <v>76</v>
      </c>
      <c r="E238" t="s">
        <v>85</v>
      </c>
      <c r="F238" t="s">
        <v>19</v>
      </c>
      <c r="G238" s="2">
        <v>45782</v>
      </c>
      <c r="H238" t="s">
        <v>86</v>
      </c>
      <c r="I238" t="s">
        <v>86</v>
      </c>
      <c r="J238">
        <v>8.1516999999999999</v>
      </c>
      <c r="K238" t="s">
        <v>87</v>
      </c>
      <c r="L238">
        <v>2</v>
      </c>
      <c r="M238">
        <v>7.51</v>
      </c>
      <c r="N238">
        <v>0.64170000000000016</v>
      </c>
      <c r="O238" s="3">
        <v>45782</v>
      </c>
    </row>
    <row r="239" spans="1:15" x14ac:dyDescent="0.25">
      <c r="A239" t="s">
        <v>80</v>
      </c>
      <c r="B239" t="s">
        <v>16</v>
      </c>
      <c r="C239">
        <v>24.061612951042861</v>
      </c>
      <c r="D239" t="s">
        <v>76</v>
      </c>
      <c r="E239" t="s">
        <v>81</v>
      </c>
      <c r="F239" t="s">
        <v>19</v>
      </c>
      <c r="G239" s="2">
        <v>45782</v>
      </c>
      <c r="H239" t="s">
        <v>82</v>
      </c>
      <c r="I239" t="s">
        <v>82</v>
      </c>
      <c r="J239">
        <v>8.0713000000000008</v>
      </c>
      <c r="K239" t="s">
        <v>83</v>
      </c>
      <c r="L239">
        <v>2</v>
      </c>
      <c r="M239">
        <v>7.51</v>
      </c>
      <c r="N239">
        <v>0.56130000000000102</v>
      </c>
      <c r="O239" s="3">
        <v>45782</v>
      </c>
    </row>
    <row r="240" spans="1:15" x14ac:dyDescent="0.25">
      <c r="A240" t="s">
        <v>84</v>
      </c>
      <c r="B240" t="s">
        <v>16</v>
      </c>
      <c r="C240">
        <v>17.398684498277781</v>
      </c>
      <c r="D240" t="s">
        <v>76</v>
      </c>
      <c r="E240" t="s">
        <v>85</v>
      </c>
      <c r="F240" t="s">
        <v>19</v>
      </c>
      <c r="G240" s="2">
        <v>45782</v>
      </c>
      <c r="H240" t="s">
        <v>86</v>
      </c>
      <c r="I240" t="s">
        <v>86</v>
      </c>
      <c r="J240">
        <v>8.1516999999999999</v>
      </c>
      <c r="K240" t="s">
        <v>87</v>
      </c>
      <c r="L240">
        <v>2</v>
      </c>
      <c r="M240">
        <v>7.51</v>
      </c>
      <c r="N240">
        <v>0.64170000000000016</v>
      </c>
      <c r="O240" s="3">
        <v>45782</v>
      </c>
    </row>
    <row r="241" spans="1:15" x14ac:dyDescent="0.25">
      <c r="A241" t="s">
        <v>84</v>
      </c>
      <c r="B241" t="s">
        <v>16</v>
      </c>
      <c r="C241">
        <v>538.97620324777779</v>
      </c>
      <c r="D241" t="s">
        <v>76</v>
      </c>
      <c r="E241" t="s">
        <v>85</v>
      </c>
      <c r="F241" t="s">
        <v>19</v>
      </c>
      <c r="G241" s="2">
        <v>45782</v>
      </c>
      <c r="H241" t="s">
        <v>86</v>
      </c>
      <c r="I241" t="s">
        <v>86</v>
      </c>
      <c r="J241">
        <v>8.1516999999999999</v>
      </c>
      <c r="K241" t="s">
        <v>87</v>
      </c>
      <c r="L241">
        <v>2</v>
      </c>
      <c r="M241">
        <v>7.51</v>
      </c>
      <c r="N241">
        <v>0.64170000000000016</v>
      </c>
      <c r="O241" s="3">
        <v>45782</v>
      </c>
    </row>
    <row r="242" spans="1:15" x14ac:dyDescent="0.25">
      <c r="A242" t="s">
        <v>80</v>
      </c>
      <c r="B242" t="s">
        <v>16</v>
      </c>
      <c r="C242">
        <v>21.468155112485722</v>
      </c>
      <c r="D242" t="s">
        <v>76</v>
      </c>
      <c r="E242" t="s">
        <v>81</v>
      </c>
      <c r="F242" t="s">
        <v>19</v>
      </c>
      <c r="G242" s="2">
        <v>45782</v>
      </c>
      <c r="H242" t="s">
        <v>82</v>
      </c>
      <c r="I242" t="s">
        <v>82</v>
      </c>
      <c r="J242">
        <v>8.0713000000000008</v>
      </c>
      <c r="K242" t="s">
        <v>83</v>
      </c>
      <c r="L242">
        <v>2</v>
      </c>
      <c r="M242">
        <v>7.51</v>
      </c>
      <c r="N242">
        <v>0.56130000000000102</v>
      </c>
      <c r="O242" s="3">
        <v>45782</v>
      </c>
    </row>
    <row r="243" spans="1:15" x14ac:dyDescent="0.25">
      <c r="A243" t="s">
        <v>84</v>
      </c>
      <c r="B243" t="s">
        <v>16</v>
      </c>
      <c r="C243">
        <v>32.603991489072222</v>
      </c>
      <c r="D243" t="s">
        <v>76</v>
      </c>
      <c r="E243" t="s">
        <v>85</v>
      </c>
      <c r="F243" t="s">
        <v>19</v>
      </c>
      <c r="G243" s="2">
        <v>45782</v>
      </c>
      <c r="H243" t="s">
        <v>86</v>
      </c>
      <c r="I243" t="s">
        <v>86</v>
      </c>
      <c r="J243">
        <v>8.1516999999999999</v>
      </c>
      <c r="K243" t="s">
        <v>87</v>
      </c>
      <c r="L243">
        <v>2</v>
      </c>
      <c r="M243">
        <v>7.51</v>
      </c>
      <c r="N243">
        <v>0.64170000000000016</v>
      </c>
      <c r="O243" s="3">
        <v>45782</v>
      </c>
    </row>
    <row r="244" spans="1:15" x14ac:dyDescent="0.25">
      <c r="A244" t="s">
        <v>84</v>
      </c>
      <c r="B244" t="s">
        <v>16</v>
      </c>
      <c r="C244">
        <v>38.339302790611107</v>
      </c>
      <c r="D244" t="s">
        <v>76</v>
      </c>
      <c r="E244" t="s">
        <v>85</v>
      </c>
      <c r="F244" t="s">
        <v>19</v>
      </c>
      <c r="G244" s="2">
        <v>45782</v>
      </c>
      <c r="H244" t="s">
        <v>86</v>
      </c>
      <c r="I244" t="s">
        <v>86</v>
      </c>
      <c r="J244">
        <v>8.1516999999999999</v>
      </c>
      <c r="K244" t="s">
        <v>87</v>
      </c>
      <c r="L244">
        <v>2</v>
      </c>
      <c r="M244">
        <v>7.51</v>
      </c>
      <c r="N244">
        <v>0.64170000000000016</v>
      </c>
      <c r="O244" s="3">
        <v>45782</v>
      </c>
    </row>
    <row r="245" spans="1:15" x14ac:dyDescent="0.25">
      <c r="A245" t="s">
        <v>80</v>
      </c>
      <c r="B245" t="s">
        <v>16</v>
      </c>
      <c r="C245">
        <v>22.184421920375001</v>
      </c>
      <c r="D245" t="s">
        <v>76</v>
      </c>
      <c r="E245" t="s">
        <v>81</v>
      </c>
      <c r="F245" t="s">
        <v>19</v>
      </c>
      <c r="G245" s="2">
        <v>45782</v>
      </c>
      <c r="H245" t="s">
        <v>82</v>
      </c>
      <c r="I245" t="s">
        <v>82</v>
      </c>
      <c r="J245">
        <v>8.0713000000000008</v>
      </c>
      <c r="K245" t="s">
        <v>83</v>
      </c>
      <c r="L245">
        <v>2</v>
      </c>
      <c r="M245">
        <v>7.51</v>
      </c>
      <c r="N245">
        <v>0.56130000000000102</v>
      </c>
      <c r="O245" s="3">
        <v>45782</v>
      </c>
    </row>
    <row r="246" spans="1:15" x14ac:dyDescent="0.25">
      <c r="A246" t="s">
        <v>84</v>
      </c>
      <c r="B246" t="s">
        <v>16</v>
      </c>
      <c r="C246">
        <v>34.221024624800002</v>
      </c>
      <c r="D246" t="s">
        <v>76</v>
      </c>
      <c r="E246" t="s">
        <v>85</v>
      </c>
      <c r="F246" t="s">
        <v>19</v>
      </c>
      <c r="G246" s="2">
        <v>45782</v>
      </c>
      <c r="H246" t="s">
        <v>86</v>
      </c>
      <c r="I246" t="s">
        <v>86</v>
      </c>
      <c r="J246">
        <v>8.1516999999999999</v>
      </c>
      <c r="K246" t="s">
        <v>87</v>
      </c>
      <c r="L246">
        <v>2</v>
      </c>
      <c r="M246">
        <v>7.51</v>
      </c>
      <c r="N246">
        <v>0.64170000000000016</v>
      </c>
      <c r="O246" s="3">
        <v>45782</v>
      </c>
    </row>
    <row r="247" spans="1:15" x14ac:dyDescent="0.25">
      <c r="A247" t="s">
        <v>84</v>
      </c>
      <c r="B247" t="s">
        <v>16</v>
      </c>
      <c r="C247">
        <v>31.933923021988889</v>
      </c>
      <c r="D247" t="s">
        <v>76</v>
      </c>
      <c r="E247" t="s">
        <v>85</v>
      </c>
      <c r="F247" t="s">
        <v>19</v>
      </c>
      <c r="G247" s="2">
        <v>45782</v>
      </c>
      <c r="H247" t="s">
        <v>86</v>
      </c>
      <c r="I247" t="s">
        <v>86</v>
      </c>
      <c r="J247">
        <v>8.1516999999999999</v>
      </c>
      <c r="K247" t="s">
        <v>87</v>
      </c>
      <c r="L247">
        <v>2</v>
      </c>
      <c r="M247">
        <v>7.51</v>
      </c>
      <c r="N247">
        <v>0.64170000000000016</v>
      </c>
      <c r="O247" s="3">
        <v>45782</v>
      </c>
    </row>
    <row r="248" spans="1:15" x14ac:dyDescent="0.25">
      <c r="A248" t="s">
        <v>84</v>
      </c>
      <c r="B248" t="s">
        <v>16</v>
      </c>
      <c r="C248">
        <v>39.983432165533337</v>
      </c>
      <c r="D248" t="s">
        <v>76</v>
      </c>
      <c r="E248" t="s">
        <v>85</v>
      </c>
      <c r="F248" t="s">
        <v>19</v>
      </c>
      <c r="G248" s="2">
        <v>45782</v>
      </c>
      <c r="H248" t="s">
        <v>86</v>
      </c>
      <c r="I248" t="s">
        <v>86</v>
      </c>
      <c r="J248">
        <v>8.1516999999999999</v>
      </c>
      <c r="K248" t="s">
        <v>87</v>
      </c>
      <c r="L248">
        <v>2</v>
      </c>
      <c r="M248">
        <v>7.51</v>
      </c>
      <c r="N248">
        <v>0.64170000000000016</v>
      </c>
      <c r="O248" s="3">
        <v>45782</v>
      </c>
    </row>
    <row r="249" spans="1:15" x14ac:dyDescent="0.25">
      <c r="A249" t="s">
        <v>84</v>
      </c>
      <c r="B249" t="s">
        <v>16</v>
      </c>
      <c r="C249">
        <v>520.64549985920007</v>
      </c>
      <c r="D249" t="s">
        <v>76</v>
      </c>
      <c r="E249" t="s">
        <v>85</v>
      </c>
      <c r="F249" t="s">
        <v>19</v>
      </c>
      <c r="G249" s="2">
        <v>45782</v>
      </c>
      <c r="H249" t="s">
        <v>86</v>
      </c>
      <c r="I249" t="s">
        <v>86</v>
      </c>
      <c r="J249">
        <v>8.1516999999999999</v>
      </c>
      <c r="K249" t="s">
        <v>87</v>
      </c>
      <c r="L249">
        <v>2</v>
      </c>
      <c r="M249">
        <v>7.51</v>
      </c>
      <c r="N249">
        <v>0.64170000000000016</v>
      </c>
      <c r="O249" s="3">
        <v>45782</v>
      </c>
    </row>
    <row r="250" spans="1:15" x14ac:dyDescent="0.25">
      <c r="A250" t="s">
        <v>80</v>
      </c>
      <c r="B250" t="s">
        <v>16</v>
      </c>
      <c r="C250">
        <v>167.4213331780262</v>
      </c>
      <c r="D250" t="s">
        <v>76</v>
      </c>
      <c r="E250" t="s">
        <v>81</v>
      </c>
      <c r="F250" t="s">
        <v>19</v>
      </c>
      <c r="G250" s="2">
        <v>45782</v>
      </c>
      <c r="H250" t="s">
        <v>82</v>
      </c>
      <c r="I250" t="s">
        <v>82</v>
      </c>
      <c r="J250">
        <v>8.0713000000000008</v>
      </c>
      <c r="K250" t="s">
        <v>83</v>
      </c>
      <c r="L250">
        <v>2</v>
      </c>
      <c r="M250">
        <v>7.51</v>
      </c>
      <c r="N250">
        <v>0.56130000000000102</v>
      </c>
      <c r="O250" s="3">
        <v>45782</v>
      </c>
    </row>
    <row r="251" spans="1:15" x14ac:dyDescent="0.25">
      <c r="A251" t="s">
        <v>84</v>
      </c>
      <c r="B251" t="s">
        <v>16</v>
      </c>
      <c r="C251">
        <v>44.48514508826667</v>
      </c>
      <c r="D251" t="s">
        <v>76</v>
      </c>
      <c r="E251" t="s">
        <v>85</v>
      </c>
      <c r="F251" t="s">
        <v>19</v>
      </c>
      <c r="G251" s="2">
        <v>45782</v>
      </c>
      <c r="H251" t="s">
        <v>86</v>
      </c>
      <c r="I251" t="s">
        <v>86</v>
      </c>
      <c r="J251">
        <v>8.1516999999999999</v>
      </c>
      <c r="K251" t="s">
        <v>87</v>
      </c>
      <c r="L251">
        <v>2</v>
      </c>
      <c r="M251">
        <v>7.51</v>
      </c>
      <c r="N251">
        <v>0.64170000000000016</v>
      </c>
      <c r="O251" s="3">
        <v>45782</v>
      </c>
    </row>
    <row r="252" spans="1:15" x14ac:dyDescent="0.25">
      <c r="A252" t="s">
        <v>84</v>
      </c>
      <c r="B252" t="s">
        <v>16</v>
      </c>
      <c r="C252">
        <v>44.151681096250002</v>
      </c>
      <c r="D252" t="s">
        <v>76</v>
      </c>
      <c r="E252" t="s">
        <v>85</v>
      </c>
      <c r="F252" t="s">
        <v>19</v>
      </c>
      <c r="G252" s="2">
        <v>45782</v>
      </c>
      <c r="H252" t="s">
        <v>86</v>
      </c>
      <c r="I252" t="s">
        <v>86</v>
      </c>
      <c r="J252">
        <v>8.1516999999999999</v>
      </c>
      <c r="K252" t="s">
        <v>87</v>
      </c>
      <c r="L252">
        <v>2</v>
      </c>
      <c r="M252">
        <v>7.51</v>
      </c>
      <c r="N252">
        <v>0.64170000000000016</v>
      </c>
      <c r="O252" s="3">
        <v>45782</v>
      </c>
    </row>
    <row r="253" spans="1:15" x14ac:dyDescent="0.25">
      <c r="A253" t="s">
        <v>75</v>
      </c>
      <c r="B253" t="s">
        <v>16</v>
      </c>
      <c r="C253">
        <v>44.477296241268263</v>
      </c>
      <c r="D253" t="s">
        <v>76</v>
      </c>
      <c r="E253" t="s">
        <v>77</v>
      </c>
      <c r="F253" t="s">
        <v>19</v>
      </c>
      <c r="G253" s="2">
        <v>45782</v>
      </c>
      <c r="H253" t="s">
        <v>78</v>
      </c>
      <c r="I253" t="s">
        <v>78</v>
      </c>
      <c r="J253">
        <v>8.0670000000000002</v>
      </c>
      <c r="K253" t="s">
        <v>79</v>
      </c>
      <c r="L253">
        <v>2</v>
      </c>
      <c r="M253">
        <v>7.51</v>
      </c>
      <c r="N253">
        <v>0.55700000000000038</v>
      </c>
      <c r="O253" s="3">
        <v>45782</v>
      </c>
    </row>
    <row r="254" spans="1:15" x14ac:dyDescent="0.25">
      <c r="A254" t="s">
        <v>75</v>
      </c>
      <c r="B254" t="s">
        <v>16</v>
      </c>
      <c r="C254">
        <v>28.016416480688889</v>
      </c>
      <c r="D254" t="s">
        <v>76</v>
      </c>
      <c r="E254" t="s">
        <v>77</v>
      </c>
      <c r="F254" t="s">
        <v>19</v>
      </c>
      <c r="G254" s="2">
        <v>45782</v>
      </c>
      <c r="H254" t="s">
        <v>78</v>
      </c>
      <c r="I254" t="s">
        <v>78</v>
      </c>
      <c r="J254">
        <v>8.0670000000000002</v>
      </c>
      <c r="K254" t="s">
        <v>79</v>
      </c>
      <c r="L254">
        <v>2</v>
      </c>
      <c r="M254">
        <v>7.51</v>
      </c>
      <c r="N254">
        <v>0.55700000000000038</v>
      </c>
      <c r="O254" s="3">
        <v>45782</v>
      </c>
    </row>
    <row r="255" spans="1:15" x14ac:dyDescent="0.25">
      <c r="A255" t="s">
        <v>75</v>
      </c>
      <c r="B255" t="s">
        <v>16</v>
      </c>
      <c r="C255">
        <v>44.392543406809523</v>
      </c>
      <c r="D255" t="s">
        <v>76</v>
      </c>
      <c r="E255" t="s">
        <v>77</v>
      </c>
      <c r="F255" t="s">
        <v>19</v>
      </c>
      <c r="G255" s="2">
        <v>45782</v>
      </c>
      <c r="H255" t="s">
        <v>78</v>
      </c>
      <c r="I255" t="s">
        <v>78</v>
      </c>
      <c r="J255">
        <v>8.0670000000000002</v>
      </c>
      <c r="K255" t="s">
        <v>79</v>
      </c>
      <c r="L255">
        <v>2</v>
      </c>
      <c r="M255">
        <v>7.51</v>
      </c>
      <c r="N255">
        <v>0.55700000000000038</v>
      </c>
      <c r="O255" s="3">
        <v>45782</v>
      </c>
    </row>
    <row r="256" spans="1:15" x14ac:dyDescent="0.25">
      <c r="A256" t="s">
        <v>75</v>
      </c>
      <c r="B256" t="s">
        <v>16</v>
      </c>
      <c r="C256">
        <v>27.274216717295239</v>
      </c>
      <c r="D256" t="s">
        <v>76</v>
      </c>
      <c r="E256" t="s">
        <v>77</v>
      </c>
      <c r="F256" t="s">
        <v>19</v>
      </c>
      <c r="G256" s="2">
        <v>45782</v>
      </c>
      <c r="H256" t="s">
        <v>78</v>
      </c>
      <c r="I256" t="s">
        <v>78</v>
      </c>
      <c r="J256">
        <v>8.0670000000000002</v>
      </c>
      <c r="K256" t="s">
        <v>79</v>
      </c>
      <c r="L256">
        <v>2</v>
      </c>
      <c r="M256">
        <v>7.51</v>
      </c>
      <c r="N256">
        <v>0.55700000000000038</v>
      </c>
      <c r="O256" s="3">
        <v>45782</v>
      </c>
    </row>
    <row r="257" spans="1:15" x14ac:dyDescent="0.25">
      <c r="A257" t="s">
        <v>75</v>
      </c>
      <c r="B257" t="s">
        <v>16</v>
      </c>
      <c r="C257">
        <v>27.46708307340834</v>
      </c>
      <c r="D257" t="s">
        <v>76</v>
      </c>
      <c r="E257" t="s">
        <v>77</v>
      </c>
      <c r="F257" t="s">
        <v>19</v>
      </c>
      <c r="G257" s="2">
        <v>45782</v>
      </c>
      <c r="H257" t="s">
        <v>78</v>
      </c>
      <c r="I257" t="s">
        <v>78</v>
      </c>
      <c r="J257">
        <v>8.0670000000000002</v>
      </c>
      <c r="K257" t="s">
        <v>79</v>
      </c>
      <c r="L257">
        <v>2</v>
      </c>
      <c r="M257">
        <v>7.51</v>
      </c>
      <c r="N257">
        <v>0.55700000000000038</v>
      </c>
      <c r="O257" s="3">
        <v>45782</v>
      </c>
    </row>
    <row r="258" spans="1:15" x14ac:dyDescent="0.25">
      <c r="A258" t="s">
        <v>75</v>
      </c>
      <c r="B258" t="s">
        <v>16</v>
      </c>
      <c r="C258">
        <v>59.511343981283339</v>
      </c>
      <c r="D258" t="s">
        <v>76</v>
      </c>
      <c r="E258" t="s">
        <v>77</v>
      </c>
      <c r="F258" t="s">
        <v>19</v>
      </c>
      <c r="G258" s="2">
        <v>45782</v>
      </c>
      <c r="H258" t="s">
        <v>78</v>
      </c>
      <c r="I258" t="s">
        <v>78</v>
      </c>
      <c r="J258">
        <v>8.0670000000000002</v>
      </c>
      <c r="K258" t="s">
        <v>79</v>
      </c>
      <c r="L258">
        <v>2</v>
      </c>
      <c r="M258">
        <v>7.51</v>
      </c>
      <c r="N258">
        <v>0.55700000000000038</v>
      </c>
      <c r="O258" s="3">
        <v>45782</v>
      </c>
    </row>
    <row r="259" spans="1:15" x14ac:dyDescent="0.25">
      <c r="A259" t="s">
        <v>75</v>
      </c>
      <c r="B259" t="s">
        <v>16</v>
      </c>
      <c r="C259">
        <v>75.974422213683724</v>
      </c>
      <c r="D259" t="s">
        <v>76</v>
      </c>
      <c r="E259" t="s">
        <v>77</v>
      </c>
      <c r="F259" t="s">
        <v>19</v>
      </c>
      <c r="G259" s="2">
        <v>45782</v>
      </c>
      <c r="H259" t="s">
        <v>78</v>
      </c>
      <c r="I259" t="s">
        <v>78</v>
      </c>
      <c r="J259">
        <v>8.0670000000000002</v>
      </c>
      <c r="K259" t="s">
        <v>79</v>
      </c>
      <c r="L259">
        <v>2</v>
      </c>
      <c r="M259">
        <v>7.51</v>
      </c>
      <c r="N259">
        <v>0.55700000000000038</v>
      </c>
      <c r="O259" s="3">
        <v>45782</v>
      </c>
    </row>
    <row r="260" spans="1:15" x14ac:dyDescent="0.25">
      <c r="A260" t="s">
        <v>75</v>
      </c>
      <c r="B260" t="s">
        <v>16</v>
      </c>
      <c r="C260">
        <v>44.037323752053567</v>
      </c>
      <c r="D260" t="s">
        <v>76</v>
      </c>
      <c r="E260" t="s">
        <v>77</v>
      </c>
      <c r="F260" t="s">
        <v>19</v>
      </c>
      <c r="G260" s="2">
        <v>45782</v>
      </c>
      <c r="H260" t="s">
        <v>78</v>
      </c>
      <c r="I260" t="s">
        <v>78</v>
      </c>
      <c r="J260">
        <v>8.0670000000000002</v>
      </c>
      <c r="K260" t="s">
        <v>79</v>
      </c>
      <c r="L260">
        <v>2</v>
      </c>
      <c r="M260">
        <v>7.51</v>
      </c>
      <c r="N260">
        <v>0.55700000000000038</v>
      </c>
      <c r="O260" s="3">
        <v>45782</v>
      </c>
    </row>
    <row r="261" spans="1:15" x14ac:dyDescent="0.25">
      <c r="A261" t="s">
        <v>75</v>
      </c>
      <c r="B261" t="s">
        <v>16</v>
      </c>
      <c r="C261">
        <v>60.352022015088899</v>
      </c>
      <c r="D261" t="s">
        <v>76</v>
      </c>
      <c r="E261" t="s">
        <v>77</v>
      </c>
      <c r="F261" t="s">
        <v>19</v>
      </c>
      <c r="G261" s="2">
        <v>45782</v>
      </c>
      <c r="H261" t="s">
        <v>78</v>
      </c>
      <c r="I261" t="s">
        <v>78</v>
      </c>
      <c r="J261">
        <v>8.0670000000000002</v>
      </c>
      <c r="K261" t="s">
        <v>79</v>
      </c>
      <c r="L261">
        <v>2</v>
      </c>
      <c r="M261">
        <v>7.51</v>
      </c>
      <c r="N261">
        <v>0.55700000000000038</v>
      </c>
      <c r="O261" s="3">
        <v>45782</v>
      </c>
    </row>
    <row r="262" spans="1:15" x14ac:dyDescent="0.25">
      <c r="A262" t="s">
        <v>75</v>
      </c>
      <c r="B262" t="s">
        <v>16</v>
      </c>
      <c r="C262">
        <v>43.608855417642857</v>
      </c>
      <c r="D262" t="s">
        <v>76</v>
      </c>
      <c r="E262" t="s">
        <v>77</v>
      </c>
      <c r="F262" t="s">
        <v>19</v>
      </c>
      <c r="G262" s="2">
        <v>45782</v>
      </c>
      <c r="H262" t="s">
        <v>78</v>
      </c>
      <c r="I262" t="s">
        <v>78</v>
      </c>
      <c r="J262">
        <v>8.0670000000000002</v>
      </c>
      <c r="K262" t="s">
        <v>79</v>
      </c>
      <c r="L262">
        <v>2</v>
      </c>
      <c r="M262">
        <v>7.51</v>
      </c>
      <c r="N262">
        <v>0.55700000000000038</v>
      </c>
      <c r="O262" s="3">
        <v>45782</v>
      </c>
    </row>
    <row r="263" spans="1:15" x14ac:dyDescent="0.25">
      <c r="A263" t="s">
        <v>88</v>
      </c>
      <c r="B263" t="s">
        <v>16</v>
      </c>
      <c r="C263">
        <v>13.92036738514286</v>
      </c>
      <c r="D263" t="s">
        <v>89</v>
      </c>
      <c r="E263" t="s">
        <v>90</v>
      </c>
      <c r="F263" t="s">
        <v>19</v>
      </c>
      <c r="G263" s="2">
        <v>45782</v>
      </c>
      <c r="H263" t="s">
        <v>91</v>
      </c>
      <c r="I263" t="s">
        <v>91</v>
      </c>
      <c r="J263">
        <v>7.9573</v>
      </c>
      <c r="K263" t="s">
        <v>92</v>
      </c>
      <c r="L263">
        <v>2</v>
      </c>
      <c r="M263">
        <v>7.4747000000000003</v>
      </c>
      <c r="N263">
        <v>0.4825999999999997</v>
      </c>
      <c r="O263" s="3">
        <v>45782</v>
      </c>
    </row>
    <row r="264" spans="1:15" x14ac:dyDescent="0.25">
      <c r="A264" t="s">
        <v>88</v>
      </c>
      <c r="B264" t="s">
        <v>16</v>
      </c>
      <c r="C264">
        <v>10.186088788799999</v>
      </c>
      <c r="D264" t="s">
        <v>89</v>
      </c>
      <c r="E264" t="s">
        <v>90</v>
      </c>
      <c r="F264" t="s">
        <v>19</v>
      </c>
      <c r="G264" s="2">
        <v>45782</v>
      </c>
      <c r="H264" t="s">
        <v>91</v>
      </c>
      <c r="I264" t="s">
        <v>91</v>
      </c>
      <c r="J264">
        <v>7.9573</v>
      </c>
      <c r="K264" t="s">
        <v>92</v>
      </c>
      <c r="L264">
        <v>2</v>
      </c>
      <c r="M264">
        <v>7.4747000000000003</v>
      </c>
      <c r="N264">
        <v>0.4825999999999997</v>
      </c>
      <c r="O264" s="3">
        <v>45782</v>
      </c>
    </row>
    <row r="265" spans="1:15" x14ac:dyDescent="0.25">
      <c r="A265" t="s">
        <v>93</v>
      </c>
      <c r="B265" t="s">
        <v>16</v>
      </c>
      <c r="C265">
        <v>16.53419588848254</v>
      </c>
      <c r="D265" t="s">
        <v>89</v>
      </c>
      <c r="E265" t="s">
        <v>94</v>
      </c>
      <c r="F265" t="s">
        <v>19</v>
      </c>
      <c r="G265" s="2">
        <v>45782</v>
      </c>
      <c r="H265" t="s">
        <v>95</v>
      </c>
      <c r="I265" t="s">
        <v>95</v>
      </c>
      <c r="J265">
        <v>7.7839</v>
      </c>
      <c r="K265" t="s">
        <v>96</v>
      </c>
      <c r="L265">
        <v>2</v>
      </c>
      <c r="M265">
        <v>7.4747000000000003</v>
      </c>
      <c r="N265">
        <v>0.3091999999999997</v>
      </c>
      <c r="O265" s="3">
        <v>45782</v>
      </c>
    </row>
    <row r="266" spans="1:15" x14ac:dyDescent="0.25">
      <c r="A266" t="s">
        <v>97</v>
      </c>
      <c r="B266" t="s">
        <v>16</v>
      </c>
      <c r="C266">
        <v>35.78426644763492</v>
      </c>
      <c r="D266" t="s">
        <v>89</v>
      </c>
      <c r="E266" t="s">
        <v>98</v>
      </c>
      <c r="F266" t="s">
        <v>19</v>
      </c>
      <c r="G266" s="2">
        <v>45782</v>
      </c>
      <c r="H266" t="s">
        <v>99</v>
      </c>
      <c r="I266" t="s">
        <v>99</v>
      </c>
      <c r="J266">
        <v>9.2637</v>
      </c>
      <c r="K266" t="s">
        <v>100</v>
      </c>
      <c r="L266">
        <v>2</v>
      </c>
      <c r="M266">
        <v>7.4747000000000003</v>
      </c>
      <c r="N266">
        <v>1.7889999999999999</v>
      </c>
      <c r="O266" s="3">
        <v>45782</v>
      </c>
    </row>
    <row r="267" spans="1:15" x14ac:dyDescent="0.25">
      <c r="A267" t="s">
        <v>97</v>
      </c>
      <c r="B267" t="s">
        <v>16</v>
      </c>
      <c r="C267">
        <v>29.853041910755561</v>
      </c>
      <c r="D267" t="s">
        <v>89</v>
      </c>
      <c r="E267" t="s">
        <v>98</v>
      </c>
      <c r="F267" t="s">
        <v>19</v>
      </c>
      <c r="G267" s="2">
        <v>45782</v>
      </c>
      <c r="H267" t="s">
        <v>99</v>
      </c>
      <c r="I267" t="s">
        <v>99</v>
      </c>
      <c r="J267">
        <v>9.2637</v>
      </c>
      <c r="K267" t="s">
        <v>100</v>
      </c>
      <c r="L267">
        <v>2</v>
      </c>
      <c r="M267">
        <v>7.4747000000000003</v>
      </c>
      <c r="N267">
        <v>1.7889999999999999</v>
      </c>
      <c r="O267" s="3">
        <v>45782</v>
      </c>
    </row>
    <row r="268" spans="1:15" x14ac:dyDescent="0.25">
      <c r="A268" t="s">
        <v>88</v>
      </c>
      <c r="B268" t="s">
        <v>16</v>
      </c>
      <c r="C268">
        <v>13.770421309671431</v>
      </c>
      <c r="D268" t="s">
        <v>89</v>
      </c>
      <c r="E268" t="s">
        <v>90</v>
      </c>
      <c r="F268" t="s">
        <v>19</v>
      </c>
      <c r="G268" s="2">
        <v>45782</v>
      </c>
      <c r="H268" t="s">
        <v>91</v>
      </c>
      <c r="I268" t="s">
        <v>91</v>
      </c>
      <c r="J268">
        <v>7.9573</v>
      </c>
      <c r="K268" t="s">
        <v>92</v>
      </c>
      <c r="L268">
        <v>2</v>
      </c>
      <c r="M268">
        <v>7.4747000000000003</v>
      </c>
      <c r="N268">
        <v>0.4825999999999997</v>
      </c>
      <c r="O268" s="3">
        <v>45782</v>
      </c>
    </row>
    <row r="269" spans="1:15" x14ac:dyDescent="0.25">
      <c r="A269" t="s">
        <v>97</v>
      </c>
      <c r="B269" t="s">
        <v>16</v>
      </c>
      <c r="C269">
        <v>24.981805179066669</v>
      </c>
      <c r="D269" t="s">
        <v>89</v>
      </c>
      <c r="E269" t="s">
        <v>98</v>
      </c>
      <c r="F269" t="s">
        <v>19</v>
      </c>
      <c r="G269" s="2">
        <v>45782</v>
      </c>
      <c r="H269" t="s">
        <v>99</v>
      </c>
      <c r="I269" t="s">
        <v>99</v>
      </c>
      <c r="J269">
        <v>9.2637</v>
      </c>
      <c r="K269" t="s">
        <v>100</v>
      </c>
      <c r="L269">
        <v>2</v>
      </c>
      <c r="M269">
        <v>7.4747000000000003</v>
      </c>
      <c r="N269">
        <v>1.7889999999999999</v>
      </c>
      <c r="O269" s="3">
        <v>45782</v>
      </c>
    </row>
    <row r="270" spans="1:15" x14ac:dyDescent="0.25">
      <c r="A270" t="s">
        <v>97</v>
      </c>
      <c r="B270" t="s">
        <v>16</v>
      </c>
      <c r="C270">
        <v>15.10257368555</v>
      </c>
      <c r="D270" t="s">
        <v>89</v>
      </c>
      <c r="E270" t="s">
        <v>98</v>
      </c>
      <c r="F270" t="s">
        <v>19</v>
      </c>
      <c r="G270" s="2">
        <v>45782</v>
      </c>
      <c r="H270" t="s">
        <v>99</v>
      </c>
      <c r="I270" t="s">
        <v>99</v>
      </c>
      <c r="J270">
        <v>9.2637</v>
      </c>
      <c r="K270" t="s">
        <v>100</v>
      </c>
      <c r="L270">
        <v>2</v>
      </c>
      <c r="M270">
        <v>7.4747000000000003</v>
      </c>
      <c r="N270">
        <v>1.7889999999999999</v>
      </c>
      <c r="O270" s="3">
        <v>45782</v>
      </c>
    </row>
    <row r="271" spans="1:15" x14ac:dyDescent="0.25">
      <c r="A271" t="s">
        <v>88</v>
      </c>
      <c r="B271" t="s">
        <v>16</v>
      </c>
      <c r="C271">
        <v>17.821101185228571</v>
      </c>
      <c r="D271" t="s">
        <v>89</v>
      </c>
      <c r="E271" t="s">
        <v>90</v>
      </c>
      <c r="F271" t="s">
        <v>19</v>
      </c>
      <c r="G271" s="2">
        <v>45782</v>
      </c>
      <c r="H271" t="s">
        <v>91</v>
      </c>
      <c r="I271" t="s">
        <v>91</v>
      </c>
      <c r="J271">
        <v>7.9573</v>
      </c>
      <c r="K271" t="s">
        <v>92</v>
      </c>
      <c r="L271">
        <v>2</v>
      </c>
      <c r="M271">
        <v>7.4747000000000003</v>
      </c>
      <c r="N271">
        <v>0.4825999999999997</v>
      </c>
      <c r="O271" s="3">
        <v>45782</v>
      </c>
    </row>
    <row r="272" spans="1:15" x14ac:dyDescent="0.25">
      <c r="A272" t="s">
        <v>88</v>
      </c>
      <c r="B272" t="s">
        <v>16</v>
      </c>
      <c r="C272">
        <v>13.18968843489643</v>
      </c>
      <c r="D272" t="s">
        <v>89</v>
      </c>
      <c r="E272" t="s">
        <v>90</v>
      </c>
      <c r="F272" t="s">
        <v>19</v>
      </c>
      <c r="G272" s="2">
        <v>45782</v>
      </c>
      <c r="H272" t="s">
        <v>91</v>
      </c>
      <c r="I272" t="s">
        <v>91</v>
      </c>
      <c r="J272">
        <v>7.9573</v>
      </c>
      <c r="K272" t="s">
        <v>92</v>
      </c>
      <c r="L272">
        <v>2</v>
      </c>
      <c r="M272">
        <v>7.4747000000000003</v>
      </c>
      <c r="N272">
        <v>0.4825999999999997</v>
      </c>
      <c r="O272" s="3">
        <v>45782</v>
      </c>
    </row>
    <row r="273" spans="1:15" x14ac:dyDescent="0.25">
      <c r="A273" t="s">
        <v>97</v>
      </c>
      <c r="B273" t="s">
        <v>16</v>
      </c>
      <c r="C273">
        <v>13.742589017155559</v>
      </c>
      <c r="D273" t="s">
        <v>89</v>
      </c>
      <c r="E273" t="s">
        <v>98</v>
      </c>
      <c r="F273" t="s">
        <v>19</v>
      </c>
      <c r="G273" s="2">
        <v>45782</v>
      </c>
      <c r="H273" t="s">
        <v>99</v>
      </c>
      <c r="I273" t="s">
        <v>99</v>
      </c>
      <c r="J273">
        <v>9.2637</v>
      </c>
      <c r="K273" t="s">
        <v>100</v>
      </c>
      <c r="L273">
        <v>2</v>
      </c>
      <c r="M273">
        <v>7.4747000000000003</v>
      </c>
      <c r="N273">
        <v>1.7889999999999999</v>
      </c>
      <c r="O273" s="3">
        <v>45782</v>
      </c>
    </row>
    <row r="274" spans="1:15" x14ac:dyDescent="0.25">
      <c r="A274" t="s">
        <v>97</v>
      </c>
      <c r="B274" t="s">
        <v>16</v>
      </c>
      <c r="C274">
        <v>31.559634463046031</v>
      </c>
      <c r="D274" t="s">
        <v>89</v>
      </c>
      <c r="E274" t="s">
        <v>98</v>
      </c>
      <c r="F274" t="s">
        <v>19</v>
      </c>
      <c r="G274" s="2">
        <v>45782</v>
      </c>
      <c r="H274" t="s">
        <v>99</v>
      </c>
      <c r="I274" t="s">
        <v>99</v>
      </c>
      <c r="J274">
        <v>9.2637</v>
      </c>
      <c r="K274" t="s">
        <v>100</v>
      </c>
      <c r="L274">
        <v>2</v>
      </c>
      <c r="M274">
        <v>7.4747000000000003</v>
      </c>
      <c r="N274">
        <v>1.7889999999999999</v>
      </c>
      <c r="O274" s="3">
        <v>45782</v>
      </c>
    </row>
    <row r="275" spans="1:15" x14ac:dyDescent="0.25">
      <c r="A275" t="s">
        <v>97</v>
      </c>
      <c r="B275" t="s">
        <v>16</v>
      </c>
      <c r="C275">
        <v>37.483451602638887</v>
      </c>
      <c r="D275" t="s">
        <v>89</v>
      </c>
      <c r="E275" t="s">
        <v>98</v>
      </c>
      <c r="F275" t="s">
        <v>19</v>
      </c>
      <c r="G275" s="2">
        <v>45782</v>
      </c>
      <c r="H275" t="s">
        <v>99</v>
      </c>
      <c r="I275" t="s">
        <v>99</v>
      </c>
      <c r="J275">
        <v>9.2637</v>
      </c>
      <c r="K275" t="s">
        <v>100</v>
      </c>
      <c r="L275">
        <v>2</v>
      </c>
      <c r="M275">
        <v>7.4747000000000003</v>
      </c>
      <c r="N275">
        <v>1.7889999999999999</v>
      </c>
      <c r="O275" s="3">
        <v>45782</v>
      </c>
    </row>
    <row r="276" spans="1:15" x14ac:dyDescent="0.25">
      <c r="A276" t="s">
        <v>97</v>
      </c>
      <c r="B276" t="s">
        <v>16</v>
      </c>
      <c r="C276">
        <v>23.579978636190479</v>
      </c>
      <c r="D276" t="s">
        <v>89</v>
      </c>
      <c r="E276" t="s">
        <v>98</v>
      </c>
      <c r="F276" t="s">
        <v>19</v>
      </c>
      <c r="G276" s="2">
        <v>45782</v>
      </c>
      <c r="H276" t="s">
        <v>99</v>
      </c>
      <c r="I276" t="s">
        <v>99</v>
      </c>
      <c r="J276">
        <v>9.2637</v>
      </c>
      <c r="K276" t="s">
        <v>100</v>
      </c>
      <c r="L276">
        <v>2</v>
      </c>
      <c r="M276">
        <v>7.4747000000000003</v>
      </c>
      <c r="N276">
        <v>1.7889999999999999</v>
      </c>
      <c r="O276" s="3">
        <v>45782</v>
      </c>
    </row>
    <row r="277" spans="1:15" x14ac:dyDescent="0.25">
      <c r="A277" t="s">
        <v>88</v>
      </c>
      <c r="B277" t="s">
        <v>16</v>
      </c>
      <c r="C277">
        <v>13.289984237539279</v>
      </c>
      <c r="D277" t="s">
        <v>89</v>
      </c>
      <c r="E277" t="s">
        <v>90</v>
      </c>
      <c r="F277" t="s">
        <v>19</v>
      </c>
      <c r="G277" s="2">
        <v>45782</v>
      </c>
      <c r="H277" t="s">
        <v>91</v>
      </c>
      <c r="I277" t="s">
        <v>91</v>
      </c>
      <c r="J277">
        <v>7.9573</v>
      </c>
      <c r="K277" t="s">
        <v>92</v>
      </c>
      <c r="L277">
        <v>2</v>
      </c>
      <c r="M277">
        <v>7.4747000000000003</v>
      </c>
      <c r="N277">
        <v>0.4825999999999997</v>
      </c>
      <c r="O277" s="3">
        <v>45782</v>
      </c>
    </row>
    <row r="278" spans="1:15" x14ac:dyDescent="0.25">
      <c r="A278" t="s">
        <v>97</v>
      </c>
      <c r="B278" t="s">
        <v>16</v>
      </c>
      <c r="C278">
        <v>16.13600817131746</v>
      </c>
      <c r="D278" t="s">
        <v>89</v>
      </c>
      <c r="E278" t="s">
        <v>98</v>
      </c>
      <c r="F278" t="s">
        <v>19</v>
      </c>
      <c r="G278" s="2">
        <v>45782</v>
      </c>
      <c r="H278" t="s">
        <v>99</v>
      </c>
      <c r="I278" t="s">
        <v>99</v>
      </c>
      <c r="J278">
        <v>9.2637</v>
      </c>
      <c r="K278" t="s">
        <v>100</v>
      </c>
      <c r="L278">
        <v>2</v>
      </c>
      <c r="M278">
        <v>7.4747000000000003</v>
      </c>
      <c r="N278">
        <v>1.7889999999999999</v>
      </c>
      <c r="O278" s="3">
        <v>45782</v>
      </c>
    </row>
    <row r="279" spans="1:15" x14ac:dyDescent="0.25">
      <c r="A279" t="s">
        <v>88</v>
      </c>
      <c r="B279" t="s">
        <v>16</v>
      </c>
      <c r="C279">
        <v>6.9307110949178572</v>
      </c>
      <c r="D279" t="s">
        <v>89</v>
      </c>
      <c r="E279" t="s">
        <v>90</v>
      </c>
      <c r="F279" t="s">
        <v>19</v>
      </c>
      <c r="G279" s="2">
        <v>45782</v>
      </c>
      <c r="H279" t="s">
        <v>91</v>
      </c>
      <c r="I279" t="s">
        <v>91</v>
      </c>
      <c r="J279">
        <v>7.9573</v>
      </c>
      <c r="K279" t="s">
        <v>92</v>
      </c>
      <c r="L279">
        <v>2</v>
      </c>
      <c r="M279">
        <v>7.4747000000000003</v>
      </c>
      <c r="N279">
        <v>0.4825999999999997</v>
      </c>
      <c r="O279" s="3">
        <v>45782</v>
      </c>
    </row>
    <row r="280" spans="1:15" x14ac:dyDescent="0.25">
      <c r="A280" t="s">
        <v>97</v>
      </c>
      <c r="B280" t="s">
        <v>16</v>
      </c>
      <c r="C280">
        <v>17.685120287961901</v>
      </c>
      <c r="D280" t="s">
        <v>89</v>
      </c>
      <c r="E280" t="s">
        <v>98</v>
      </c>
      <c r="F280" t="s">
        <v>19</v>
      </c>
      <c r="G280" s="2">
        <v>45782</v>
      </c>
      <c r="H280" t="s">
        <v>99</v>
      </c>
      <c r="I280" t="s">
        <v>99</v>
      </c>
      <c r="J280">
        <v>9.2637</v>
      </c>
      <c r="K280" t="s">
        <v>100</v>
      </c>
      <c r="L280">
        <v>2</v>
      </c>
      <c r="M280">
        <v>7.4747000000000003</v>
      </c>
      <c r="N280">
        <v>1.7889999999999999</v>
      </c>
      <c r="O280" s="3">
        <v>45782</v>
      </c>
    </row>
    <row r="281" spans="1:15" x14ac:dyDescent="0.25">
      <c r="A281" t="s">
        <v>93</v>
      </c>
      <c r="B281" t="s">
        <v>16</v>
      </c>
      <c r="C281">
        <v>20.3977620675746</v>
      </c>
      <c r="D281" t="s">
        <v>89</v>
      </c>
      <c r="E281" t="s">
        <v>94</v>
      </c>
      <c r="F281" t="s">
        <v>19</v>
      </c>
      <c r="G281" s="2">
        <v>45782</v>
      </c>
      <c r="H281" t="s">
        <v>95</v>
      </c>
      <c r="I281" t="s">
        <v>95</v>
      </c>
      <c r="J281">
        <v>7.7839</v>
      </c>
      <c r="K281" t="s">
        <v>96</v>
      </c>
      <c r="L281">
        <v>2</v>
      </c>
      <c r="M281">
        <v>7.4747000000000003</v>
      </c>
      <c r="N281">
        <v>0.3091999999999997</v>
      </c>
      <c r="O281" s="3">
        <v>45782</v>
      </c>
    </row>
    <row r="282" spans="1:15" x14ac:dyDescent="0.25">
      <c r="A282" t="s">
        <v>97</v>
      </c>
      <c r="B282" t="s">
        <v>16</v>
      </c>
      <c r="C282">
        <v>37.676131829070641</v>
      </c>
      <c r="D282" t="s">
        <v>89</v>
      </c>
      <c r="E282" t="s">
        <v>98</v>
      </c>
      <c r="F282" t="s">
        <v>19</v>
      </c>
      <c r="G282" s="2">
        <v>45782</v>
      </c>
      <c r="H282" t="s">
        <v>99</v>
      </c>
      <c r="I282" t="s">
        <v>99</v>
      </c>
      <c r="J282">
        <v>9.2637</v>
      </c>
      <c r="K282" t="s">
        <v>100</v>
      </c>
      <c r="L282">
        <v>2</v>
      </c>
      <c r="M282">
        <v>7.4747000000000003</v>
      </c>
      <c r="N282">
        <v>1.7889999999999999</v>
      </c>
      <c r="O282" s="3">
        <v>45782</v>
      </c>
    </row>
    <row r="283" spans="1:15" x14ac:dyDescent="0.25">
      <c r="A283" t="s">
        <v>88</v>
      </c>
      <c r="B283" t="s">
        <v>16</v>
      </c>
      <c r="C283">
        <v>14.90204296285714</v>
      </c>
      <c r="D283" t="s">
        <v>89</v>
      </c>
      <c r="E283" t="s">
        <v>90</v>
      </c>
      <c r="F283" t="s">
        <v>19</v>
      </c>
      <c r="G283" s="2">
        <v>45782</v>
      </c>
      <c r="H283" t="s">
        <v>91</v>
      </c>
      <c r="I283" t="s">
        <v>91</v>
      </c>
      <c r="J283">
        <v>7.9573</v>
      </c>
      <c r="K283" t="s">
        <v>92</v>
      </c>
      <c r="L283">
        <v>2</v>
      </c>
      <c r="M283">
        <v>7.4747000000000003</v>
      </c>
      <c r="N283">
        <v>0.4825999999999997</v>
      </c>
      <c r="O283" s="3">
        <v>45782</v>
      </c>
    </row>
    <row r="284" spans="1:15" x14ac:dyDescent="0.25">
      <c r="A284" t="s">
        <v>88</v>
      </c>
      <c r="B284" t="s">
        <v>16</v>
      </c>
      <c r="C284">
        <v>8.1736339847035726</v>
      </c>
      <c r="D284" t="s">
        <v>89</v>
      </c>
      <c r="E284" t="s">
        <v>90</v>
      </c>
      <c r="F284" t="s">
        <v>19</v>
      </c>
      <c r="G284" s="2">
        <v>45782</v>
      </c>
      <c r="H284" t="s">
        <v>91</v>
      </c>
      <c r="I284" t="s">
        <v>91</v>
      </c>
      <c r="J284">
        <v>7.9573</v>
      </c>
      <c r="K284" t="s">
        <v>92</v>
      </c>
      <c r="L284">
        <v>2</v>
      </c>
      <c r="M284">
        <v>7.4747000000000003</v>
      </c>
      <c r="N284">
        <v>0.4825999999999997</v>
      </c>
      <c r="O284" s="3">
        <v>45782</v>
      </c>
    </row>
    <row r="285" spans="1:15" x14ac:dyDescent="0.25">
      <c r="A285" t="s">
        <v>88</v>
      </c>
      <c r="B285" t="s">
        <v>16</v>
      </c>
      <c r="C285">
        <v>14.603292385125</v>
      </c>
      <c r="D285" t="s">
        <v>89</v>
      </c>
      <c r="E285" t="s">
        <v>90</v>
      </c>
      <c r="F285" t="s">
        <v>19</v>
      </c>
      <c r="G285" s="2">
        <v>45782</v>
      </c>
      <c r="H285" t="s">
        <v>91</v>
      </c>
      <c r="I285" t="s">
        <v>91</v>
      </c>
      <c r="J285">
        <v>7.9573</v>
      </c>
      <c r="K285" t="s">
        <v>92</v>
      </c>
      <c r="L285">
        <v>2</v>
      </c>
      <c r="M285">
        <v>7.4747000000000003</v>
      </c>
      <c r="N285">
        <v>0.4825999999999997</v>
      </c>
      <c r="O285" s="3">
        <v>45782</v>
      </c>
    </row>
    <row r="286" spans="1:15" x14ac:dyDescent="0.25">
      <c r="A286" t="s">
        <v>97</v>
      </c>
      <c r="B286" t="s">
        <v>16</v>
      </c>
      <c r="C286">
        <v>36.163763406642857</v>
      </c>
      <c r="D286" t="s">
        <v>89</v>
      </c>
      <c r="E286" t="s">
        <v>98</v>
      </c>
      <c r="F286" t="s">
        <v>19</v>
      </c>
      <c r="G286" s="2">
        <v>45782</v>
      </c>
      <c r="H286" t="s">
        <v>99</v>
      </c>
      <c r="I286" t="s">
        <v>99</v>
      </c>
      <c r="J286">
        <v>9.2637</v>
      </c>
      <c r="K286" t="s">
        <v>100</v>
      </c>
      <c r="L286">
        <v>2</v>
      </c>
      <c r="M286">
        <v>7.4747000000000003</v>
      </c>
      <c r="N286">
        <v>1.7889999999999999</v>
      </c>
      <c r="O286" s="3">
        <v>45782</v>
      </c>
    </row>
    <row r="287" spans="1:15" x14ac:dyDescent="0.25">
      <c r="A287" t="s">
        <v>88</v>
      </c>
      <c r="B287" t="s">
        <v>16</v>
      </c>
      <c r="C287">
        <v>14.533297748400001</v>
      </c>
      <c r="D287" t="s">
        <v>89</v>
      </c>
      <c r="E287" t="s">
        <v>90</v>
      </c>
      <c r="F287" t="s">
        <v>19</v>
      </c>
      <c r="G287" s="2">
        <v>45782</v>
      </c>
      <c r="H287" t="s">
        <v>91</v>
      </c>
      <c r="I287" t="s">
        <v>91</v>
      </c>
      <c r="J287">
        <v>7.9573</v>
      </c>
      <c r="K287" t="s">
        <v>92</v>
      </c>
      <c r="L287">
        <v>2</v>
      </c>
      <c r="M287">
        <v>7.4747000000000003</v>
      </c>
      <c r="N287">
        <v>0.4825999999999997</v>
      </c>
      <c r="O287" s="3">
        <v>45782</v>
      </c>
    </row>
    <row r="288" spans="1:15" x14ac:dyDescent="0.25">
      <c r="A288" t="s">
        <v>93</v>
      </c>
      <c r="B288" t="s">
        <v>16</v>
      </c>
      <c r="C288">
        <v>9.3157361701785728</v>
      </c>
      <c r="D288" t="s">
        <v>89</v>
      </c>
      <c r="E288" t="s">
        <v>94</v>
      </c>
      <c r="F288" t="s">
        <v>19</v>
      </c>
      <c r="G288" s="2">
        <v>45782</v>
      </c>
      <c r="H288" t="s">
        <v>95</v>
      </c>
      <c r="I288" t="s">
        <v>95</v>
      </c>
      <c r="J288">
        <v>7.7839</v>
      </c>
      <c r="K288" t="s">
        <v>96</v>
      </c>
      <c r="L288">
        <v>2</v>
      </c>
      <c r="M288">
        <v>7.4747000000000003</v>
      </c>
      <c r="N288">
        <v>0.3091999999999997</v>
      </c>
      <c r="O288" s="3">
        <v>45782</v>
      </c>
    </row>
    <row r="289" spans="1:15" x14ac:dyDescent="0.25">
      <c r="A289" t="s">
        <v>97</v>
      </c>
      <c r="B289" t="s">
        <v>16</v>
      </c>
      <c r="C289">
        <v>37.796883199884917</v>
      </c>
      <c r="D289" t="s">
        <v>89</v>
      </c>
      <c r="E289" t="s">
        <v>98</v>
      </c>
      <c r="F289" t="s">
        <v>19</v>
      </c>
      <c r="G289" s="2">
        <v>45782</v>
      </c>
      <c r="H289" t="s">
        <v>99</v>
      </c>
      <c r="I289" t="s">
        <v>99</v>
      </c>
      <c r="J289">
        <v>9.2637</v>
      </c>
      <c r="K289" t="s">
        <v>100</v>
      </c>
      <c r="L289">
        <v>2</v>
      </c>
      <c r="M289">
        <v>7.4747000000000003</v>
      </c>
      <c r="N289">
        <v>1.7889999999999999</v>
      </c>
      <c r="O289" s="3">
        <v>45782</v>
      </c>
    </row>
    <row r="290" spans="1:15" x14ac:dyDescent="0.25">
      <c r="A290" t="s">
        <v>97</v>
      </c>
      <c r="B290" t="s">
        <v>16</v>
      </c>
      <c r="C290">
        <v>38.750096581444453</v>
      </c>
      <c r="D290" t="s">
        <v>89</v>
      </c>
      <c r="E290" t="s">
        <v>98</v>
      </c>
      <c r="F290" t="s">
        <v>19</v>
      </c>
      <c r="G290" s="2">
        <v>45782</v>
      </c>
      <c r="H290" t="s">
        <v>99</v>
      </c>
      <c r="I290" t="s">
        <v>99</v>
      </c>
      <c r="J290">
        <v>9.2637</v>
      </c>
      <c r="K290" t="s">
        <v>100</v>
      </c>
      <c r="L290">
        <v>2</v>
      </c>
      <c r="M290">
        <v>7.4747000000000003</v>
      </c>
      <c r="N290">
        <v>1.7889999999999999</v>
      </c>
      <c r="O290" s="3">
        <v>45782</v>
      </c>
    </row>
    <row r="291" spans="1:15" x14ac:dyDescent="0.25">
      <c r="A291" t="s">
        <v>97</v>
      </c>
      <c r="B291" t="s">
        <v>16</v>
      </c>
      <c r="C291">
        <v>35.943559007777779</v>
      </c>
      <c r="D291" t="s">
        <v>89</v>
      </c>
      <c r="E291" t="s">
        <v>98</v>
      </c>
      <c r="F291" t="s">
        <v>19</v>
      </c>
      <c r="G291" s="2">
        <v>45782</v>
      </c>
      <c r="H291" t="s">
        <v>99</v>
      </c>
      <c r="I291" t="s">
        <v>99</v>
      </c>
      <c r="J291">
        <v>9.2637</v>
      </c>
      <c r="K291" t="s">
        <v>100</v>
      </c>
      <c r="L291">
        <v>2</v>
      </c>
      <c r="M291">
        <v>7.4747000000000003</v>
      </c>
      <c r="N291">
        <v>1.7889999999999999</v>
      </c>
      <c r="O291" s="3">
        <v>45782</v>
      </c>
    </row>
    <row r="292" spans="1:15" x14ac:dyDescent="0.25">
      <c r="A292" t="s">
        <v>93</v>
      </c>
      <c r="B292" t="s">
        <v>16</v>
      </c>
      <c r="C292">
        <v>1.016949956605159</v>
      </c>
      <c r="D292" t="s">
        <v>89</v>
      </c>
      <c r="E292" t="s">
        <v>94</v>
      </c>
      <c r="F292" t="s">
        <v>19</v>
      </c>
      <c r="G292" s="2">
        <v>45782</v>
      </c>
      <c r="H292" t="s">
        <v>95</v>
      </c>
      <c r="I292" t="s">
        <v>95</v>
      </c>
      <c r="J292">
        <v>7.7839</v>
      </c>
      <c r="K292" t="s">
        <v>96</v>
      </c>
      <c r="L292">
        <v>2</v>
      </c>
      <c r="M292">
        <v>7.4747000000000003</v>
      </c>
      <c r="N292">
        <v>0.3091999999999997</v>
      </c>
      <c r="O292" s="3">
        <v>45782</v>
      </c>
    </row>
    <row r="293" spans="1:15" x14ac:dyDescent="0.25">
      <c r="A293" t="s">
        <v>97</v>
      </c>
      <c r="B293" t="s">
        <v>16</v>
      </c>
      <c r="C293">
        <v>35.959995782110319</v>
      </c>
      <c r="D293" t="s">
        <v>89</v>
      </c>
      <c r="E293" t="s">
        <v>98</v>
      </c>
      <c r="F293" t="s">
        <v>19</v>
      </c>
      <c r="G293" s="2">
        <v>45782</v>
      </c>
      <c r="H293" t="s">
        <v>99</v>
      </c>
      <c r="I293" t="s">
        <v>99</v>
      </c>
      <c r="J293">
        <v>9.2637</v>
      </c>
      <c r="K293" t="s">
        <v>100</v>
      </c>
      <c r="L293">
        <v>2</v>
      </c>
      <c r="M293">
        <v>7.4747000000000003</v>
      </c>
      <c r="N293">
        <v>1.7889999999999999</v>
      </c>
      <c r="O293" s="3">
        <v>45782</v>
      </c>
    </row>
    <row r="294" spans="1:15" x14ac:dyDescent="0.25">
      <c r="A294" t="s">
        <v>97</v>
      </c>
      <c r="B294" t="s">
        <v>16</v>
      </c>
      <c r="C294">
        <v>39.04389011206667</v>
      </c>
      <c r="D294" t="s">
        <v>89</v>
      </c>
      <c r="E294" t="s">
        <v>98</v>
      </c>
      <c r="F294" t="s">
        <v>19</v>
      </c>
      <c r="G294" s="2">
        <v>45782</v>
      </c>
      <c r="H294" t="s">
        <v>99</v>
      </c>
      <c r="I294" t="s">
        <v>99</v>
      </c>
      <c r="J294">
        <v>9.2637</v>
      </c>
      <c r="K294" t="s">
        <v>100</v>
      </c>
      <c r="L294">
        <v>2</v>
      </c>
      <c r="M294">
        <v>7.4747000000000003</v>
      </c>
      <c r="N294">
        <v>1.7889999999999999</v>
      </c>
      <c r="O294" s="3">
        <v>45782</v>
      </c>
    </row>
    <row r="295" spans="1:15" x14ac:dyDescent="0.25">
      <c r="A295" t="s">
        <v>88</v>
      </c>
      <c r="B295" t="s">
        <v>16</v>
      </c>
      <c r="C295">
        <v>14.771673992228569</v>
      </c>
      <c r="D295" t="s">
        <v>89</v>
      </c>
      <c r="E295" t="s">
        <v>90</v>
      </c>
      <c r="F295" t="s">
        <v>19</v>
      </c>
      <c r="G295" s="2">
        <v>45782</v>
      </c>
      <c r="H295" t="s">
        <v>91</v>
      </c>
      <c r="I295" t="s">
        <v>91</v>
      </c>
      <c r="J295">
        <v>7.9573</v>
      </c>
      <c r="K295" t="s">
        <v>92</v>
      </c>
      <c r="L295">
        <v>2</v>
      </c>
      <c r="M295">
        <v>7.4747000000000003</v>
      </c>
      <c r="N295">
        <v>0.4825999999999997</v>
      </c>
      <c r="O295" s="3">
        <v>45782</v>
      </c>
    </row>
    <row r="296" spans="1:15" x14ac:dyDescent="0.25">
      <c r="A296" t="s">
        <v>93</v>
      </c>
      <c r="B296" t="s">
        <v>16</v>
      </c>
      <c r="C296">
        <v>5.7083576187626983</v>
      </c>
      <c r="D296" t="s">
        <v>89</v>
      </c>
      <c r="E296" t="s">
        <v>94</v>
      </c>
      <c r="F296" t="s">
        <v>19</v>
      </c>
      <c r="G296" s="2">
        <v>45782</v>
      </c>
      <c r="H296" t="s">
        <v>95</v>
      </c>
      <c r="I296" t="s">
        <v>95</v>
      </c>
      <c r="J296">
        <v>7.7839</v>
      </c>
      <c r="K296" t="s">
        <v>96</v>
      </c>
      <c r="L296">
        <v>2</v>
      </c>
      <c r="M296">
        <v>7.4747000000000003</v>
      </c>
      <c r="N296">
        <v>0.3091999999999997</v>
      </c>
      <c r="O296" s="3">
        <v>45782</v>
      </c>
    </row>
    <row r="297" spans="1:15" x14ac:dyDescent="0.25">
      <c r="A297" t="s">
        <v>88</v>
      </c>
      <c r="B297" t="s">
        <v>16</v>
      </c>
      <c r="C297">
        <v>14.900895862500001</v>
      </c>
      <c r="D297" t="s">
        <v>89</v>
      </c>
      <c r="E297" t="s">
        <v>90</v>
      </c>
      <c r="F297" t="s">
        <v>19</v>
      </c>
      <c r="G297" s="2">
        <v>45782</v>
      </c>
      <c r="H297" t="s">
        <v>91</v>
      </c>
      <c r="I297" t="s">
        <v>91</v>
      </c>
      <c r="J297">
        <v>7.9573</v>
      </c>
      <c r="K297" t="s">
        <v>92</v>
      </c>
      <c r="L297">
        <v>2</v>
      </c>
      <c r="M297">
        <v>7.4747000000000003</v>
      </c>
      <c r="N297">
        <v>0.4825999999999997</v>
      </c>
      <c r="O297" s="3">
        <v>45782</v>
      </c>
    </row>
    <row r="298" spans="1:15" x14ac:dyDescent="0.25">
      <c r="A298" t="s">
        <v>88</v>
      </c>
      <c r="B298" t="s">
        <v>16</v>
      </c>
      <c r="C298">
        <v>9.1523948612142867</v>
      </c>
      <c r="D298" t="s">
        <v>89</v>
      </c>
      <c r="E298" t="s">
        <v>90</v>
      </c>
      <c r="F298" t="s">
        <v>19</v>
      </c>
      <c r="G298" s="2">
        <v>45782</v>
      </c>
      <c r="H298" t="s">
        <v>91</v>
      </c>
      <c r="I298" t="s">
        <v>91</v>
      </c>
      <c r="J298">
        <v>7.9573</v>
      </c>
      <c r="K298" t="s">
        <v>92</v>
      </c>
      <c r="L298">
        <v>2</v>
      </c>
      <c r="M298">
        <v>7.4747000000000003</v>
      </c>
      <c r="N298">
        <v>0.4825999999999997</v>
      </c>
      <c r="O298" s="3">
        <v>45782</v>
      </c>
    </row>
    <row r="299" spans="1:15" x14ac:dyDescent="0.25">
      <c r="A299" t="s">
        <v>93</v>
      </c>
      <c r="B299" t="s">
        <v>16</v>
      </c>
      <c r="C299">
        <v>13.59878966720556</v>
      </c>
      <c r="D299" t="s">
        <v>89</v>
      </c>
      <c r="E299" t="s">
        <v>94</v>
      </c>
      <c r="F299" t="s">
        <v>19</v>
      </c>
      <c r="G299" s="2">
        <v>45782</v>
      </c>
      <c r="H299" t="s">
        <v>95</v>
      </c>
      <c r="I299" t="s">
        <v>95</v>
      </c>
      <c r="J299">
        <v>7.7839</v>
      </c>
      <c r="K299" t="s">
        <v>96</v>
      </c>
      <c r="L299">
        <v>2</v>
      </c>
      <c r="M299">
        <v>7.4747000000000003</v>
      </c>
      <c r="N299">
        <v>0.3091999999999997</v>
      </c>
      <c r="O299" s="3">
        <v>45782</v>
      </c>
    </row>
    <row r="300" spans="1:15" x14ac:dyDescent="0.25">
      <c r="A300" t="s">
        <v>88</v>
      </c>
      <c r="B300" t="s">
        <v>16</v>
      </c>
      <c r="C300">
        <v>18.525716713232139</v>
      </c>
      <c r="D300" t="s">
        <v>89</v>
      </c>
      <c r="E300" t="s">
        <v>90</v>
      </c>
      <c r="F300" t="s">
        <v>19</v>
      </c>
      <c r="G300" s="2">
        <v>45782</v>
      </c>
      <c r="H300" t="s">
        <v>91</v>
      </c>
      <c r="I300" t="s">
        <v>91</v>
      </c>
      <c r="J300">
        <v>7.9573</v>
      </c>
      <c r="K300" t="s">
        <v>92</v>
      </c>
      <c r="L300">
        <v>2</v>
      </c>
      <c r="M300">
        <v>7.4747000000000003</v>
      </c>
      <c r="N300">
        <v>0.4825999999999997</v>
      </c>
      <c r="O300" s="3">
        <v>45782</v>
      </c>
    </row>
    <row r="301" spans="1:15" x14ac:dyDescent="0.25">
      <c r="A301" t="s">
        <v>97</v>
      </c>
      <c r="B301" t="s">
        <v>16</v>
      </c>
      <c r="C301">
        <v>34.320618349436508</v>
      </c>
      <c r="D301" t="s">
        <v>89</v>
      </c>
      <c r="E301" t="s">
        <v>98</v>
      </c>
      <c r="F301" t="s">
        <v>19</v>
      </c>
      <c r="G301" s="2">
        <v>45782</v>
      </c>
      <c r="H301" t="s">
        <v>99</v>
      </c>
      <c r="I301" t="s">
        <v>99</v>
      </c>
      <c r="J301">
        <v>9.2637</v>
      </c>
      <c r="K301" t="s">
        <v>100</v>
      </c>
      <c r="L301">
        <v>2</v>
      </c>
      <c r="M301">
        <v>7.4747000000000003</v>
      </c>
      <c r="N301">
        <v>1.7889999999999999</v>
      </c>
      <c r="O301" s="3">
        <v>45782</v>
      </c>
    </row>
    <row r="302" spans="1:15" x14ac:dyDescent="0.25">
      <c r="A302" t="s">
        <v>97</v>
      </c>
      <c r="B302" t="s">
        <v>16</v>
      </c>
      <c r="C302">
        <v>33.606220705199988</v>
      </c>
      <c r="D302" t="s">
        <v>89</v>
      </c>
      <c r="E302" t="s">
        <v>98</v>
      </c>
      <c r="F302" t="s">
        <v>19</v>
      </c>
      <c r="G302" s="2">
        <v>45782</v>
      </c>
      <c r="H302" t="s">
        <v>99</v>
      </c>
      <c r="I302" t="s">
        <v>99</v>
      </c>
      <c r="J302">
        <v>9.2637</v>
      </c>
      <c r="K302" t="s">
        <v>100</v>
      </c>
      <c r="L302">
        <v>2</v>
      </c>
      <c r="M302">
        <v>7.4747000000000003</v>
      </c>
      <c r="N302">
        <v>1.7889999999999999</v>
      </c>
      <c r="O302" s="3">
        <v>45782</v>
      </c>
    </row>
    <row r="303" spans="1:15" x14ac:dyDescent="0.25">
      <c r="A303" t="s">
        <v>88</v>
      </c>
      <c r="B303" t="s">
        <v>16</v>
      </c>
      <c r="C303">
        <v>13.8492768675</v>
      </c>
      <c r="D303" t="s">
        <v>89</v>
      </c>
      <c r="E303" t="s">
        <v>90</v>
      </c>
      <c r="F303" t="s">
        <v>19</v>
      </c>
      <c r="G303" s="2">
        <v>45782</v>
      </c>
      <c r="H303" t="s">
        <v>91</v>
      </c>
      <c r="I303" t="s">
        <v>91</v>
      </c>
      <c r="J303">
        <v>7.9573</v>
      </c>
      <c r="K303" t="s">
        <v>92</v>
      </c>
      <c r="L303">
        <v>2</v>
      </c>
      <c r="M303">
        <v>7.4747000000000003</v>
      </c>
      <c r="N303">
        <v>0.4825999999999997</v>
      </c>
      <c r="O303" s="3">
        <v>45782</v>
      </c>
    </row>
    <row r="304" spans="1:15" x14ac:dyDescent="0.25">
      <c r="A304" t="s">
        <v>97</v>
      </c>
      <c r="B304" t="s">
        <v>16</v>
      </c>
      <c r="C304">
        <v>36.794746644974602</v>
      </c>
      <c r="D304" t="s">
        <v>89</v>
      </c>
      <c r="E304" t="s">
        <v>98</v>
      </c>
      <c r="F304" t="s">
        <v>19</v>
      </c>
      <c r="G304" s="2">
        <v>45782</v>
      </c>
      <c r="H304" t="s">
        <v>99</v>
      </c>
      <c r="I304" t="s">
        <v>99</v>
      </c>
      <c r="J304">
        <v>9.2637</v>
      </c>
      <c r="K304" t="s">
        <v>100</v>
      </c>
      <c r="L304">
        <v>2</v>
      </c>
      <c r="M304">
        <v>7.4747000000000003</v>
      </c>
      <c r="N304">
        <v>1.7889999999999999</v>
      </c>
      <c r="O304" s="3">
        <v>45782</v>
      </c>
    </row>
    <row r="305" spans="1:15" x14ac:dyDescent="0.25">
      <c r="A305" t="s">
        <v>88</v>
      </c>
      <c r="B305" t="s">
        <v>16</v>
      </c>
      <c r="C305">
        <v>7.8462192500357144</v>
      </c>
      <c r="D305" t="s">
        <v>89</v>
      </c>
      <c r="E305" t="s">
        <v>90</v>
      </c>
      <c r="F305" t="s">
        <v>19</v>
      </c>
      <c r="G305" s="2">
        <v>45782</v>
      </c>
      <c r="H305" t="s">
        <v>91</v>
      </c>
      <c r="I305" t="s">
        <v>91</v>
      </c>
      <c r="J305">
        <v>7.9573</v>
      </c>
      <c r="K305" t="s">
        <v>92</v>
      </c>
      <c r="L305">
        <v>2</v>
      </c>
      <c r="M305">
        <v>7.4747000000000003</v>
      </c>
      <c r="N305">
        <v>0.4825999999999997</v>
      </c>
      <c r="O305" s="3">
        <v>45782</v>
      </c>
    </row>
    <row r="306" spans="1:15" x14ac:dyDescent="0.25">
      <c r="A306" t="s">
        <v>88</v>
      </c>
      <c r="B306" t="s">
        <v>16</v>
      </c>
      <c r="C306">
        <v>15.0885025776</v>
      </c>
      <c r="D306" t="s">
        <v>89</v>
      </c>
      <c r="E306" t="s">
        <v>90</v>
      </c>
      <c r="F306" t="s">
        <v>19</v>
      </c>
      <c r="G306" s="2">
        <v>45782</v>
      </c>
      <c r="H306" t="s">
        <v>91</v>
      </c>
      <c r="I306" t="s">
        <v>91</v>
      </c>
      <c r="J306">
        <v>7.9573</v>
      </c>
      <c r="K306" t="s">
        <v>92</v>
      </c>
      <c r="L306">
        <v>2</v>
      </c>
      <c r="M306">
        <v>7.4747000000000003</v>
      </c>
      <c r="N306">
        <v>0.4825999999999997</v>
      </c>
      <c r="O306" s="3">
        <v>45782</v>
      </c>
    </row>
    <row r="307" spans="1:15" x14ac:dyDescent="0.25">
      <c r="A307" t="s">
        <v>97</v>
      </c>
      <c r="B307" t="s">
        <v>16</v>
      </c>
      <c r="C307">
        <v>36.213557005992072</v>
      </c>
      <c r="D307" t="s">
        <v>89</v>
      </c>
      <c r="E307" t="s">
        <v>98</v>
      </c>
      <c r="F307" t="s">
        <v>19</v>
      </c>
      <c r="G307" s="2">
        <v>45782</v>
      </c>
      <c r="H307" t="s">
        <v>99</v>
      </c>
      <c r="I307" t="s">
        <v>99</v>
      </c>
      <c r="J307">
        <v>9.2637</v>
      </c>
      <c r="K307" t="s">
        <v>100</v>
      </c>
      <c r="L307">
        <v>2</v>
      </c>
      <c r="M307">
        <v>7.4747000000000003</v>
      </c>
      <c r="N307">
        <v>1.7889999999999999</v>
      </c>
      <c r="O307" s="3">
        <v>45782</v>
      </c>
    </row>
    <row r="308" spans="1:15" x14ac:dyDescent="0.25">
      <c r="A308" t="s">
        <v>97</v>
      </c>
      <c r="B308" t="s">
        <v>16</v>
      </c>
      <c r="C308">
        <v>35.689564527396819</v>
      </c>
      <c r="D308" t="s">
        <v>89</v>
      </c>
      <c r="E308" t="s">
        <v>98</v>
      </c>
      <c r="F308" t="s">
        <v>19</v>
      </c>
      <c r="G308" s="2">
        <v>45782</v>
      </c>
      <c r="H308" t="s">
        <v>99</v>
      </c>
      <c r="I308" t="s">
        <v>99</v>
      </c>
      <c r="J308">
        <v>9.2637</v>
      </c>
      <c r="K308" t="s">
        <v>100</v>
      </c>
      <c r="L308">
        <v>2</v>
      </c>
      <c r="M308">
        <v>7.4747000000000003</v>
      </c>
      <c r="N308">
        <v>1.7889999999999999</v>
      </c>
      <c r="O308" s="3">
        <v>45782</v>
      </c>
    </row>
    <row r="309" spans="1:15" x14ac:dyDescent="0.25">
      <c r="A309" t="s">
        <v>88</v>
      </c>
      <c r="B309" t="s">
        <v>16</v>
      </c>
      <c r="C309">
        <v>13.877762085257149</v>
      </c>
      <c r="D309" t="s">
        <v>89</v>
      </c>
      <c r="E309" t="s">
        <v>90</v>
      </c>
      <c r="F309" t="s">
        <v>19</v>
      </c>
      <c r="G309" s="2">
        <v>45782</v>
      </c>
      <c r="H309" t="s">
        <v>91</v>
      </c>
      <c r="I309" t="s">
        <v>91</v>
      </c>
      <c r="J309">
        <v>7.9573</v>
      </c>
      <c r="K309" t="s">
        <v>92</v>
      </c>
      <c r="L309">
        <v>2</v>
      </c>
      <c r="M309">
        <v>7.4747000000000003</v>
      </c>
      <c r="N309">
        <v>0.4825999999999997</v>
      </c>
      <c r="O309" s="3">
        <v>45782</v>
      </c>
    </row>
    <row r="310" spans="1:15" x14ac:dyDescent="0.25">
      <c r="A310" t="s">
        <v>88</v>
      </c>
      <c r="B310" t="s">
        <v>16</v>
      </c>
      <c r="C310">
        <v>9.3260677419428575</v>
      </c>
      <c r="D310" t="s">
        <v>89</v>
      </c>
      <c r="E310" t="s">
        <v>90</v>
      </c>
      <c r="F310" t="s">
        <v>19</v>
      </c>
      <c r="G310" s="2">
        <v>45782</v>
      </c>
      <c r="H310" t="s">
        <v>91</v>
      </c>
      <c r="I310" t="s">
        <v>91</v>
      </c>
      <c r="J310">
        <v>7.9573</v>
      </c>
      <c r="K310" t="s">
        <v>92</v>
      </c>
      <c r="L310">
        <v>2</v>
      </c>
      <c r="M310">
        <v>7.4747000000000003</v>
      </c>
      <c r="N310">
        <v>0.4825999999999997</v>
      </c>
      <c r="O310" s="3">
        <v>45782</v>
      </c>
    </row>
    <row r="311" spans="1:15" x14ac:dyDescent="0.25">
      <c r="A311" t="s">
        <v>97</v>
      </c>
      <c r="B311" t="s">
        <v>16</v>
      </c>
      <c r="C311">
        <v>36.308669662571432</v>
      </c>
      <c r="D311" t="s">
        <v>89</v>
      </c>
      <c r="E311" t="s">
        <v>98</v>
      </c>
      <c r="F311" t="s">
        <v>19</v>
      </c>
      <c r="G311" s="2">
        <v>45782</v>
      </c>
      <c r="H311" t="s">
        <v>99</v>
      </c>
      <c r="I311" t="s">
        <v>99</v>
      </c>
      <c r="J311">
        <v>9.2637</v>
      </c>
      <c r="K311" t="s">
        <v>100</v>
      </c>
      <c r="L311">
        <v>2</v>
      </c>
      <c r="M311">
        <v>7.4747000000000003</v>
      </c>
      <c r="N311">
        <v>1.7889999999999999</v>
      </c>
      <c r="O311" s="3">
        <v>45782</v>
      </c>
    </row>
    <row r="312" spans="1:15" x14ac:dyDescent="0.25">
      <c r="A312" t="s">
        <v>101</v>
      </c>
      <c r="B312" t="s">
        <v>16</v>
      </c>
      <c r="C312">
        <v>28.522682632399999</v>
      </c>
      <c r="D312" t="s">
        <v>89</v>
      </c>
      <c r="E312" t="s">
        <v>102</v>
      </c>
      <c r="F312" t="s">
        <v>19</v>
      </c>
      <c r="G312" s="2">
        <v>45782</v>
      </c>
      <c r="H312" t="s">
        <v>103</v>
      </c>
      <c r="I312" t="s">
        <v>103</v>
      </c>
      <c r="J312">
        <v>7.7991000000000001</v>
      </c>
      <c r="K312" t="s">
        <v>104</v>
      </c>
      <c r="L312">
        <v>2</v>
      </c>
      <c r="M312">
        <v>7.4747000000000003</v>
      </c>
      <c r="N312">
        <v>0.3243999999999998</v>
      </c>
      <c r="O312" s="3">
        <v>45782</v>
      </c>
    </row>
    <row r="313" spans="1:15" x14ac:dyDescent="0.25">
      <c r="A313" t="s">
        <v>93</v>
      </c>
      <c r="B313" t="s">
        <v>16</v>
      </c>
      <c r="C313">
        <v>32.034087570708337</v>
      </c>
      <c r="D313" t="s">
        <v>89</v>
      </c>
      <c r="E313" t="s">
        <v>94</v>
      </c>
      <c r="F313" t="s">
        <v>19</v>
      </c>
      <c r="G313" s="2">
        <v>45782</v>
      </c>
      <c r="H313" t="s">
        <v>95</v>
      </c>
      <c r="I313" t="s">
        <v>95</v>
      </c>
      <c r="J313">
        <v>7.7839</v>
      </c>
      <c r="K313" t="s">
        <v>96</v>
      </c>
      <c r="L313">
        <v>2</v>
      </c>
      <c r="M313">
        <v>7.4747000000000003</v>
      </c>
      <c r="N313">
        <v>0.3091999999999997</v>
      </c>
      <c r="O313" s="3">
        <v>45782</v>
      </c>
    </row>
    <row r="314" spans="1:15" x14ac:dyDescent="0.25">
      <c r="A314" t="s">
        <v>93</v>
      </c>
      <c r="B314" t="s">
        <v>16</v>
      </c>
      <c r="C314">
        <v>32.262861889523798</v>
      </c>
      <c r="D314" t="s">
        <v>89</v>
      </c>
      <c r="E314" t="s">
        <v>94</v>
      </c>
      <c r="F314" t="s">
        <v>19</v>
      </c>
      <c r="G314" s="2">
        <v>45782</v>
      </c>
      <c r="H314" t="s">
        <v>95</v>
      </c>
      <c r="I314" t="s">
        <v>95</v>
      </c>
      <c r="J314">
        <v>7.7839</v>
      </c>
      <c r="K314" t="s">
        <v>96</v>
      </c>
      <c r="L314">
        <v>2</v>
      </c>
      <c r="M314">
        <v>7.4747000000000003</v>
      </c>
      <c r="N314">
        <v>0.3091999999999997</v>
      </c>
      <c r="O314" s="3">
        <v>45782</v>
      </c>
    </row>
    <row r="315" spans="1:15" x14ac:dyDescent="0.25">
      <c r="A315" t="s">
        <v>101</v>
      </c>
      <c r="B315" t="s">
        <v>16</v>
      </c>
      <c r="C315">
        <v>24.833227729200001</v>
      </c>
      <c r="D315" t="s">
        <v>89</v>
      </c>
      <c r="E315" t="s">
        <v>102</v>
      </c>
      <c r="F315" t="s">
        <v>19</v>
      </c>
      <c r="G315" s="2">
        <v>45782</v>
      </c>
      <c r="H315" t="s">
        <v>103</v>
      </c>
      <c r="I315" t="s">
        <v>103</v>
      </c>
      <c r="J315">
        <v>7.7991000000000001</v>
      </c>
      <c r="K315" t="s">
        <v>104</v>
      </c>
      <c r="L315">
        <v>2</v>
      </c>
      <c r="M315">
        <v>7.4747000000000003</v>
      </c>
      <c r="N315">
        <v>0.3243999999999998</v>
      </c>
      <c r="O315" s="3">
        <v>45782</v>
      </c>
    </row>
    <row r="316" spans="1:15" x14ac:dyDescent="0.25">
      <c r="A316" t="s">
        <v>88</v>
      </c>
      <c r="B316" t="s">
        <v>16</v>
      </c>
      <c r="C316">
        <v>12.59550224051786</v>
      </c>
      <c r="D316" t="s">
        <v>89</v>
      </c>
      <c r="E316" t="s">
        <v>90</v>
      </c>
      <c r="F316" t="s">
        <v>19</v>
      </c>
      <c r="G316" s="2">
        <v>45782</v>
      </c>
      <c r="H316" t="s">
        <v>91</v>
      </c>
      <c r="I316" t="s">
        <v>91</v>
      </c>
      <c r="J316">
        <v>7.9573</v>
      </c>
      <c r="K316" t="s">
        <v>92</v>
      </c>
      <c r="L316">
        <v>2</v>
      </c>
      <c r="M316">
        <v>7.4747000000000003</v>
      </c>
      <c r="N316">
        <v>0.4825999999999997</v>
      </c>
      <c r="O316" s="3">
        <v>45782</v>
      </c>
    </row>
    <row r="317" spans="1:15" x14ac:dyDescent="0.25">
      <c r="A317" t="s">
        <v>93</v>
      </c>
      <c r="B317" t="s">
        <v>16</v>
      </c>
      <c r="C317">
        <v>322.75109969123378</v>
      </c>
      <c r="D317" t="s">
        <v>89</v>
      </c>
      <c r="E317" t="s">
        <v>94</v>
      </c>
      <c r="F317" t="s">
        <v>19</v>
      </c>
      <c r="G317" s="2">
        <v>45782</v>
      </c>
      <c r="H317" t="s">
        <v>95</v>
      </c>
      <c r="I317" t="s">
        <v>95</v>
      </c>
      <c r="J317">
        <v>7.7839</v>
      </c>
      <c r="K317" t="s">
        <v>96</v>
      </c>
      <c r="L317">
        <v>2</v>
      </c>
      <c r="M317">
        <v>7.4747000000000003</v>
      </c>
      <c r="N317">
        <v>0.3091999999999997</v>
      </c>
      <c r="O317" s="3">
        <v>45782</v>
      </c>
    </row>
    <row r="318" spans="1:15" x14ac:dyDescent="0.25">
      <c r="A318" t="s">
        <v>101</v>
      </c>
      <c r="B318" t="s">
        <v>16</v>
      </c>
      <c r="C318">
        <v>20.65062745165357</v>
      </c>
      <c r="D318" t="s">
        <v>89</v>
      </c>
      <c r="E318" t="s">
        <v>102</v>
      </c>
      <c r="F318" t="s">
        <v>19</v>
      </c>
      <c r="G318" s="2">
        <v>45782</v>
      </c>
      <c r="H318" t="s">
        <v>103</v>
      </c>
      <c r="I318" t="s">
        <v>103</v>
      </c>
      <c r="J318">
        <v>7.7991000000000001</v>
      </c>
      <c r="K318" t="s">
        <v>104</v>
      </c>
      <c r="L318">
        <v>2</v>
      </c>
      <c r="M318">
        <v>7.4747000000000003</v>
      </c>
      <c r="N318">
        <v>0.3243999999999998</v>
      </c>
      <c r="O318" s="3">
        <v>45782</v>
      </c>
    </row>
    <row r="319" spans="1:15" x14ac:dyDescent="0.25">
      <c r="A319" t="s">
        <v>97</v>
      </c>
      <c r="B319" t="s">
        <v>16</v>
      </c>
      <c r="C319">
        <v>34.148869476944448</v>
      </c>
      <c r="D319" t="s">
        <v>89</v>
      </c>
      <c r="E319" t="s">
        <v>98</v>
      </c>
      <c r="F319" t="s">
        <v>19</v>
      </c>
      <c r="G319" s="2">
        <v>45782</v>
      </c>
      <c r="H319" t="s">
        <v>99</v>
      </c>
      <c r="I319" t="s">
        <v>99</v>
      </c>
      <c r="J319">
        <v>9.2637</v>
      </c>
      <c r="K319" t="s">
        <v>100</v>
      </c>
      <c r="L319">
        <v>2</v>
      </c>
      <c r="M319">
        <v>7.4747000000000003</v>
      </c>
      <c r="N319">
        <v>1.7889999999999999</v>
      </c>
      <c r="O319" s="3">
        <v>45782</v>
      </c>
    </row>
    <row r="320" spans="1:15" x14ac:dyDescent="0.25">
      <c r="A320" t="s">
        <v>88</v>
      </c>
      <c r="B320" t="s">
        <v>16</v>
      </c>
      <c r="C320">
        <v>12.60245343013929</v>
      </c>
      <c r="D320" t="s">
        <v>89</v>
      </c>
      <c r="E320" t="s">
        <v>90</v>
      </c>
      <c r="F320" t="s">
        <v>19</v>
      </c>
      <c r="G320" s="2">
        <v>45782</v>
      </c>
      <c r="H320" t="s">
        <v>91</v>
      </c>
      <c r="I320" t="s">
        <v>91</v>
      </c>
      <c r="J320">
        <v>7.9573</v>
      </c>
      <c r="K320" t="s">
        <v>92</v>
      </c>
      <c r="L320">
        <v>2</v>
      </c>
      <c r="M320">
        <v>7.4747000000000003</v>
      </c>
      <c r="N320">
        <v>0.4825999999999997</v>
      </c>
      <c r="O320" s="3">
        <v>45782</v>
      </c>
    </row>
    <row r="321" spans="1:15" x14ac:dyDescent="0.25">
      <c r="A321" t="s">
        <v>101</v>
      </c>
      <c r="B321" t="s">
        <v>16</v>
      </c>
      <c r="C321">
        <v>28.752861269903569</v>
      </c>
      <c r="D321" t="s">
        <v>89</v>
      </c>
      <c r="E321" t="s">
        <v>102</v>
      </c>
      <c r="F321" t="s">
        <v>19</v>
      </c>
      <c r="G321" s="2">
        <v>45782</v>
      </c>
      <c r="H321" t="s">
        <v>103</v>
      </c>
      <c r="I321" t="s">
        <v>103</v>
      </c>
      <c r="J321">
        <v>7.7991000000000001</v>
      </c>
      <c r="K321" t="s">
        <v>104</v>
      </c>
      <c r="L321">
        <v>2</v>
      </c>
      <c r="M321">
        <v>7.4747000000000003</v>
      </c>
      <c r="N321">
        <v>0.3243999999999998</v>
      </c>
      <c r="O321" s="3">
        <v>45782</v>
      </c>
    </row>
    <row r="322" spans="1:15" x14ac:dyDescent="0.25">
      <c r="A322" t="s">
        <v>101</v>
      </c>
      <c r="B322" t="s">
        <v>16</v>
      </c>
      <c r="C322">
        <v>20.646239287182141</v>
      </c>
      <c r="D322" t="s">
        <v>89</v>
      </c>
      <c r="E322" t="s">
        <v>102</v>
      </c>
      <c r="F322" t="s">
        <v>19</v>
      </c>
      <c r="G322" s="2">
        <v>45782</v>
      </c>
      <c r="H322" t="s">
        <v>103</v>
      </c>
      <c r="I322" t="s">
        <v>103</v>
      </c>
      <c r="J322">
        <v>7.7991000000000001</v>
      </c>
      <c r="K322" t="s">
        <v>104</v>
      </c>
      <c r="L322">
        <v>2</v>
      </c>
      <c r="M322">
        <v>7.4747000000000003</v>
      </c>
      <c r="N322">
        <v>0.3243999999999998</v>
      </c>
      <c r="O322" s="3">
        <v>45782</v>
      </c>
    </row>
    <row r="323" spans="1:15" x14ac:dyDescent="0.25">
      <c r="A323" t="s">
        <v>88</v>
      </c>
      <c r="B323" t="s">
        <v>16</v>
      </c>
      <c r="C323">
        <v>12.80825919267857</v>
      </c>
      <c r="D323" t="s">
        <v>89</v>
      </c>
      <c r="E323" t="s">
        <v>90</v>
      </c>
      <c r="F323" t="s">
        <v>19</v>
      </c>
      <c r="G323" s="2">
        <v>45782</v>
      </c>
      <c r="H323" t="s">
        <v>91</v>
      </c>
      <c r="I323" t="s">
        <v>91</v>
      </c>
      <c r="J323">
        <v>7.9573</v>
      </c>
      <c r="K323" t="s">
        <v>92</v>
      </c>
      <c r="L323">
        <v>2</v>
      </c>
      <c r="M323">
        <v>7.4747000000000003</v>
      </c>
      <c r="N323">
        <v>0.4825999999999997</v>
      </c>
      <c r="O323" s="3">
        <v>45782</v>
      </c>
    </row>
    <row r="324" spans="1:15" x14ac:dyDescent="0.25">
      <c r="A324" t="s">
        <v>93</v>
      </c>
      <c r="B324" t="s">
        <v>16</v>
      </c>
      <c r="C324">
        <v>21.811930057872221</v>
      </c>
      <c r="D324" t="s">
        <v>89</v>
      </c>
      <c r="E324" t="s">
        <v>94</v>
      </c>
      <c r="F324" t="s">
        <v>19</v>
      </c>
      <c r="G324" s="2">
        <v>45782</v>
      </c>
      <c r="H324" t="s">
        <v>95</v>
      </c>
      <c r="I324" t="s">
        <v>95</v>
      </c>
      <c r="J324">
        <v>7.7839</v>
      </c>
      <c r="K324" t="s">
        <v>96</v>
      </c>
      <c r="L324">
        <v>2</v>
      </c>
      <c r="M324">
        <v>7.4747000000000003</v>
      </c>
      <c r="N324">
        <v>0.3091999999999997</v>
      </c>
      <c r="O324" s="3">
        <v>45782</v>
      </c>
    </row>
    <row r="325" spans="1:15" x14ac:dyDescent="0.25">
      <c r="A325" t="s">
        <v>93</v>
      </c>
      <c r="B325" t="s">
        <v>16</v>
      </c>
      <c r="C325">
        <v>30.728941056566661</v>
      </c>
      <c r="D325" t="s">
        <v>89</v>
      </c>
      <c r="E325" t="s">
        <v>94</v>
      </c>
      <c r="F325" t="s">
        <v>19</v>
      </c>
      <c r="G325" s="2">
        <v>45782</v>
      </c>
      <c r="H325" t="s">
        <v>95</v>
      </c>
      <c r="I325" t="s">
        <v>95</v>
      </c>
      <c r="J325">
        <v>7.7839</v>
      </c>
      <c r="K325" t="s">
        <v>96</v>
      </c>
      <c r="L325">
        <v>2</v>
      </c>
      <c r="M325">
        <v>7.4747000000000003</v>
      </c>
      <c r="N325">
        <v>0.3091999999999997</v>
      </c>
      <c r="O325" s="3">
        <v>45782</v>
      </c>
    </row>
    <row r="326" spans="1:15" x14ac:dyDescent="0.25">
      <c r="A326" t="s">
        <v>88</v>
      </c>
      <c r="B326" t="s">
        <v>16</v>
      </c>
      <c r="C326">
        <v>14.767284806121429</v>
      </c>
      <c r="D326" t="s">
        <v>89</v>
      </c>
      <c r="E326" t="s">
        <v>90</v>
      </c>
      <c r="F326" t="s">
        <v>19</v>
      </c>
      <c r="G326" s="2">
        <v>45782</v>
      </c>
      <c r="H326" t="s">
        <v>91</v>
      </c>
      <c r="I326" t="s">
        <v>91</v>
      </c>
      <c r="J326">
        <v>7.9573</v>
      </c>
      <c r="K326" t="s">
        <v>92</v>
      </c>
      <c r="L326">
        <v>2</v>
      </c>
      <c r="M326">
        <v>7.4747000000000003</v>
      </c>
      <c r="N326">
        <v>0.4825999999999997</v>
      </c>
      <c r="O326" s="3">
        <v>45782</v>
      </c>
    </row>
    <row r="327" spans="1:15" x14ac:dyDescent="0.25">
      <c r="A327" t="s">
        <v>88</v>
      </c>
      <c r="B327" t="s">
        <v>16</v>
      </c>
      <c r="C327">
        <v>11.225459873249999</v>
      </c>
      <c r="D327" t="s">
        <v>89</v>
      </c>
      <c r="E327" t="s">
        <v>90</v>
      </c>
      <c r="F327" t="s">
        <v>19</v>
      </c>
      <c r="G327" s="2">
        <v>45782</v>
      </c>
      <c r="H327" t="s">
        <v>91</v>
      </c>
      <c r="I327" t="s">
        <v>91</v>
      </c>
      <c r="J327">
        <v>7.9573</v>
      </c>
      <c r="K327" t="s">
        <v>92</v>
      </c>
      <c r="L327">
        <v>2</v>
      </c>
      <c r="M327">
        <v>7.4747000000000003</v>
      </c>
      <c r="N327">
        <v>0.4825999999999997</v>
      </c>
      <c r="O327" s="3">
        <v>45782</v>
      </c>
    </row>
    <row r="328" spans="1:15" x14ac:dyDescent="0.25">
      <c r="A328" t="s">
        <v>97</v>
      </c>
      <c r="B328" t="s">
        <v>16</v>
      </c>
      <c r="C328">
        <v>35.673533183785707</v>
      </c>
      <c r="D328" t="s">
        <v>89</v>
      </c>
      <c r="E328" t="s">
        <v>98</v>
      </c>
      <c r="F328" t="s">
        <v>19</v>
      </c>
      <c r="G328" s="2">
        <v>45782</v>
      </c>
      <c r="H328" t="s">
        <v>99</v>
      </c>
      <c r="I328" t="s">
        <v>99</v>
      </c>
      <c r="J328">
        <v>9.2637</v>
      </c>
      <c r="K328" t="s">
        <v>100</v>
      </c>
      <c r="L328">
        <v>2</v>
      </c>
      <c r="M328">
        <v>7.4747000000000003</v>
      </c>
      <c r="N328">
        <v>1.7889999999999999</v>
      </c>
      <c r="O328" s="3">
        <v>45782</v>
      </c>
    </row>
    <row r="329" spans="1:15" x14ac:dyDescent="0.25">
      <c r="A329" t="s">
        <v>93</v>
      </c>
      <c r="B329" t="s">
        <v>16</v>
      </c>
      <c r="C329">
        <v>323.25227138552299</v>
      </c>
      <c r="D329" t="s">
        <v>89</v>
      </c>
      <c r="E329" t="s">
        <v>94</v>
      </c>
      <c r="F329" t="s">
        <v>19</v>
      </c>
      <c r="G329" s="2">
        <v>45782</v>
      </c>
      <c r="H329" t="s">
        <v>95</v>
      </c>
      <c r="I329" t="s">
        <v>95</v>
      </c>
      <c r="J329">
        <v>7.7839</v>
      </c>
      <c r="K329" t="s">
        <v>96</v>
      </c>
      <c r="L329">
        <v>2</v>
      </c>
      <c r="M329">
        <v>7.4747000000000003</v>
      </c>
      <c r="N329">
        <v>0.3091999999999997</v>
      </c>
      <c r="O329" s="3">
        <v>45782</v>
      </c>
    </row>
    <row r="330" spans="1:15" x14ac:dyDescent="0.25">
      <c r="A330" t="s">
        <v>88</v>
      </c>
      <c r="B330" t="s">
        <v>16</v>
      </c>
      <c r="C330">
        <v>3.864033285600001</v>
      </c>
      <c r="D330" t="s">
        <v>89</v>
      </c>
      <c r="E330" t="s">
        <v>90</v>
      </c>
      <c r="F330" t="s">
        <v>19</v>
      </c>
      <c r="G330" s="2">
        <v>45782</v>
      </c>
      <c r="H330" t="s">
        <v>91</v>
      </c>
      <c r="I330" t="s">
        <v>91</v>
      </c>
      <c r="J330">
        <v>7.9573</v>
      </c>
      <c r="K330" t="s">
        <v>92</v>
      </c>
      <c r="L330">
        <v>2</v>
      </c>
      <c r="M330">
        <v>7.4747000000000003</v>
      </c>
      <c r="N330">
        <v>0.4825999999999997</v>
      </c>
      <c r="O330" s="3">
        <v>45782</v>
      </c>
    </row>
    <row r="331" spans="1:15" x14ac:dyDescent="0.25">
      <c r="A331" t="s">
        <v>101</v>
      </c>
      <c r="B331" t="s">
        <v>16</v>
      </c>
      <c r="C331">
        <v>342.19416128144758</v>
      </c>
      <c r="D331" t="s">
        <v>89</v>
      </c>
      <c r="E331" t="s">
        <v>102</v>
      </c>
      <c r="F331" t="s">
        <v>19</v>
      </c>
      <c r="G331" s="2">
        <v>45782</v>
      </c>
      <c r="H331" t="s">
        <v>103</v>
      </c>
      <c r="I331" t="s">
        <v>103</v>
      </c>
      <c r="J331">
        <v>7.7991000000000001</v>
      </c>
      <c r="K331" t="s">
        <v>104</v>
      </c>
      <c r="L331">
        <v>2</v>
      </c>
      <c r="M331">
        <v>7.4747000000000003</v>
      </c>
      <c r="N331">
        <v>0.3243999999999998</v>
      </c>
      <c r="O331" s="3">
        <v>45782</v>
      </c>
    </row>
    <row r="332" spans="1:15" x14ac:dyDescent="0.25">
      <c r="A332" t="s">
        <v>101</v>
      </c>
      <c r="B332" t="s">
        <v>16</v>
      </c>
      <c r="C332">
        <v>23.986258848933339</v>
      </c>
      <c r="D332" t="s">
        <v>89</v>
      </c>
      <c r="E332" t="s">
        <v>102</v>
      </c>
      <c r="F332" t="s">
        <v>19</v>
      </c>
      <c r="G332" s="2">
        <v>45782</v>
      </c>
      <c r="H332" t="s">
        <v>103</v>
      </c>
      <c r="I332" t="s">
        <v>103</v>
      </c>
      <c r="J332">
        <v>7.7991000000000001</v>
      </c>
      <c r="K332" t="s">
        <v>104</v>
      </c>
      <c r="L332">
        <v>2</v>
      </c>
      <c r="M332">
        <v>7.4747000000000003</v>
      </c>
      <c r="N332">
        <v>0.3243999999999998</v>
      </c>
      <c r="O332" s="3">
        <v>45782</v>
      </c>
    </row>
    <row r="333" spans="1:15" x14ac:dyDescent="0.25">
      <c r="A333" t="s">
        <v>101</v>
      </c>
      <c r="B333" t="s">
        <v>16</v>
      </c>
      <c r="C333">
        <v>37.285327870895237</v>
      </c>
      <c r="D333" t="s">
        <v>89</v>
      </c>
      <c r="E333" t="s">
        <v>102</v>
      </c>
      <c r="F333" t="s">
        <v>19</v>
      </c>
      <c r="G333" s="2">
        <v>45782</v>
      </c>
      <c r="H333" t="s">
        <v>103</v>
      </c>
      <c r="I333" t="s">
        <v>103</v>
      </c>
      <c r="J333">
        <v>7.7991000000000001</v>
      </c>
      <c r="K333" t="s">
        <v>104</v>
      </c>
      <c r="L333">
        <v>2</v>
      </c>
      <c r="M333">
        <v>7.4747000000000003</v>
      </c>
      <c r="N333">
        <v>0.3243999999999998</v>
      </c>
      <c r="O333" s="3">
        <v>45782</v>
      </c>
    </row>
    <row r="334" spans="1:15" x14ac:dyDescent="0.25">
      <c r="A334" t="s">
        <v>93</v>
      </c>
      <c r="B334" t="s">
        <v>16</v>
      </c>
      <c r="C334">
        <v>38.685765871735711</v>
      </c>
      <c r="D334" t="s">
        <v>89</v>
      </c>
      <c r="E334" t="s">
        <v>94</v>
      </c>
      <c r="F334" t="s">
        <v>19</v>
      </c>
      <c r="G334" s="2">
        <v>45782</v>
      </c>
      <c r="H334" t="s">
        <v>95</v>
      </c>
      <c r="I334" t="s">
        <v>95</v>
      </c>
      <c r="J334">
        <v>7.7839</v>
      </c>
      <c r="K334" t="s">
        <v>96</v>
      </c>
      <c r="L334">
        <v>2</v>
      </c>
      <c r="M334">
        <v>7.4747000000000003</v>
      </c>
      <c r="N334">
        <v>0.3091999999999997</v>
      </c>
      <c r="O334" s="3">
        <v>45782</v>
      </c>
    </row>
    <row r="335" spans="1:15" x14ac:dyDescent="0.25">
      <c r="A335" t="s">
        <v>88</v>
      </c>
      <c r="B335" t="s">
        <v>16</v>
      </c>
      <c r="C335">
        <v>2.556590429785714</v>
      </c>
      <c r="D335" t="s">
        <v>89</v>
      </c>
      <c r="E335" t="s">
        <v>90</v>
      </c>
      <c r="F335" t="s">
        <v>19</v>
      </c>
      <c r="G335" s="2">
        <v>45782</v>
      </c>
      <c r="H335" t="s">
        <v>91</v>
      </c>
      <c r="I335" t="s">
        <v>91</v>
      </c>
      <c r="J335">
        <v>7.9573</v>
      </c>
      <c r="K335" t="s">
        <v>92</v>
      </c>
      <c r="L335">
        <v>2</v>
      </c>
      <c r="M335">
        <v>7.4747000000000003</v>
      </c>
      <c r="N335">
        <v>0.4825999999999997</v>
      </c>
      <c r="O335" s="3">
        <v>45782</v>
      </c>
    </row>
    <row r="336" spans="1:15" x14ac:dyDescent="0.25">
      <c r="A336" t="s">
        <v>101</v>
      </c>
      <c r="B336" t="s">
        <v>16</v>
      </c>
      <c r="C336">
        <v>35.254992478330948</v>
      </c>
      <c r="D336" t="s">
        <v>89</v>
      </c>
      <c r="E336" t="s">
        <v>102</v>
      </c>
      <c r="F336" t="s">
        <v>19</v>
      </c>
      <c r="G336" s="2">
        <v>45782</v>
      </c>
      <c r="H336" t="s">
        <v>103</v>
      </c>
      <c r="I336" t="s">
        <v>103</v>
      </c>
      <c r="J336">
        <v>7.7991000000000001</v>
      </c>
      <c r="K336" t="s">
        <v>104</v>
      </c>
      <c r="L336">
        <v>2</v>
      </c>
      <c r="M336">
        <v>7.4747000000000003</v>
      </c>
      <c r="N336">
        <v>0.3243999999999998</v>
      </c>
      <c r="O336" s="3">
        <v>45782</v>
      </c>
    </row>
    <row r="337" spans="1:15" x14ac:dyDescent="0.25">
      <c r="A337" t="s">
        <v>88</v>
      </c>
      <c r="B337" t="s">
        <v>16</v>
      </c>
      <c r="C337">
        <v>12.150899448246429</v>
      </c>
      <c r="D337" t="s">
        <v>89</v>
      </c>
      <c r="E337" t="s">
        <v>90</v>
      </c>
      <c r="F337" t="s">
        <v>19</v>
      </c>
      <c r="G337" s="2">
        <v>45782</v>
      </c>
      <c r="H337" t="s">
        <v>91</v>
      </c>
      <c r="I337" t="s">
        <v>91</v>
      </c>
      <c r="J337">
        <v>7.9573</v>
      </c>
      <c r="K337" t="s">
        <v>92</v>
      </c>
      <c r="L337">
        <v>2</v>
      </c>
      <c r="M337">
        <v>7.4747000000000003</v>
      </c>
      <c r="N337">
        <v>0.4825999999999997</v>
      </c>
      <c r="O337" s="3">
        <v>45782</v>
      </c>
    </row>
    <row r="338" spans="1:15" x14ac:dyDescent="0.25">
      <c r="A338" t="s">
        <v>88</v>
      </c>
      <c r="B338" t="s">
        <v>16</v>
      </c>
      <c r="C338">
        <v>11.73628733914286</v>
      </c>
      <c r="D338" t="s">
        <v>89</v>
      </c>
      <c r="E338" t="s">
        <v>90</v>
      </c>
      <c r="F338" t="s">
        <v>19</v>
      </c>
      <c r="G338" s="2">
        <v>45782</v>
      </c>
      <c r="H338" t="s">
        <v>91</v>
      </c>
      <c r="I338" t="s">
        <v>91</v>
      </c>
      <c r="J338">
        <v>7.9573</v>
      </c>
      <c r="K338" t="s">
        <v>92</v>
      </c>
      <c r="L338">
        <v>2</v>
      </c>
      <c r="M338">
        <v>7.4747000000000003</v>
      </c>
      <c r="N338">
        <v>0.4825999999999997</v>
      </c>
      <c r="O338" s="3">
        <v>45782</v>
      </c>
    </row>
    <row r="339" spans="1:15" x14ac:dyDescent="0.25">
      <c r="A339" t="s">
        <v>93</v>
      </c>
      <c r="B339" t="s">
        <v>16</v>
      </c>
      <c r="C339">
        <v>35.200011664565871</v>
      </c>
      <c r="D339" t="s">
        <v>89</v>
      </c>
      <c r="E339" t="s">
        <v>94</v>
      </c>
      <c r="F339" t="s">
        <v>19</v>
      </c>
      <c r="G339" s="2">
        <v>45782</v>
      </c>
      <c r="H339" t="s">
        <v>95</v>
      </c>
      <c r="I339" t="s">
        <v>95</v>
      </c>
      <c r="J339">
        <v>7.7839</v>
      </c>
      <c r="K339" t="s">
        <v>96</v>
      </c>
      <c r="L339">
        <v>2</v>
      </c>
      <c r="M339">
        <v>7.4747000000000003</v>
      </c>
      <c r="N339">
        <v>0.3091999999999997</v>
      </c>
      <c r="O339" s="3">
        <v>45782</v>
      </c>
    </row>
    <row r="340" spans="1:15" x14ac:dyDescent="0.25">
      <c r="A340" t="s">
        <v>101</v>
      </c>
      <c r="B340" t="s">
        <v>16</v>
      </c>
      <c r="C340">
        <v>29.640363592714291</v>
      </c>
      <c r="D340" t="s">
        <v>89</v>
      </c>
      <c r="E340" t="s">
        <v>102</v>
      </c>
      <c r="F340" t="s">
        <v>19</v>
      </c>
      <c r="G340" s="2">
        <v>45782</v>
      </c>
      <c r="H340" t="s">
        <v>103</v>
      </c>
      <c r="I340" t="s">
        <v>103</v>
      </c>
      <c r="J340">
        <v>7.7991000000000001</v>
      </c>
      <c r="K340" t="s">
        <v>104</v>
      </c>
      <c r="L340">
        <v>2</v>
      </c>
      <c r="M340">
        <v>7.4747000000000003</v>
      </c>
      <c r="N340">
        <v>0.3243999999999998</v>
      </c>
      <c r="O340" s="3">
        <v>45782</v>
      </c>
    </row>
    <row r="341" spans="1:15" x14ac:dyDescent="0.25">
      <c r="A341" t="s">
        <v>93</v>
      </c>
      <c r="B341" t="s">
        <v>16</v>
      </c>
      <c r="C341">
        <v>38.881062990085717</v>
      </c>
      <c r="D341" t="s">
        <v>89</v>
      </c>
      <c r="E341" t="s">
        <v>94</v>
      </c>
      <c r="F341" t="s">
        <v>19</v>
      </c>
      <c r="G341" s="2">
        <v>45782</v>
      </c>
      <c r="H341" t="s">
        <v>95</v>
      </c>
      <c r="I341" t="s">
        <v>95</v>
      </c>
      <c r="J341">
        <v>7.7839</v>
      </c>
      <c r="K341" t="s">
        <v>96</v>
      </c>
      <c r="L341">
        <v>2</v>
      </c>
      <c r="M341">
        <v>7.4747000000000003</v>
      </c>
      <c r="N341">
        <v>0.3091999999999997</v>
      </c>
      <c r="O341" s="3">
        <v>45782</v>
      </c>
    </row>
    <row r="342" spans="1:15" x14ac:dyDescent="0.25">
      <c r="A342" t="s">
        <v>101</v>
      </c>
      <c r="B342" t="s">
        <v>16</v>
      </c>
      <c r="C342">
        <v>337.79781392531441</v>
      </c>
      <c r="D342" t="s">
        <v>89</v>
      </c>
      <c r="E342" t="s">
        <v>102</v>
      </c>
      <c r="F342" t="s">
        <v>19</v>
      </c>
      <c r="G342" s="2">
        <v>45782</v>
      </c>
      <c r="H342" t="s">
        <v>103</v>
      </c>
      <c r="I342" t="s">
        <v>103</v>
      </c>
      <c r="J342">
        <v>7.7991000000000001</v>
      </c>
      <c r="K342" t="s">
        <v>104</v>
      </c>
      <c r="L342">
        <v>2</v>
      </c>
      <c r="M342">
        <v>7.4747000000000003</v>
      </c>
      <c r="N342">
        <v>0.3243999999999998</v>
      </c>
      <c r="O342" s="3">
        <v>45782</v>
      </c>
    </row>
    <row r="343" spans="1:15" x14ac:dyDescent="0.25">
      <c r="A343" t="s">
        <v>88</v>
      </c>
      <c r="B343" t="s">
        <v>16</v>
      </c>
      <c r="C343">
        <v>2.5531438447928578</v>
      </c>
      <c r="D343" t="s">
        <v>89</v>
      </c>
      <c r="E343" t="s">
        <v>90</v>
      </c>
      <c r="F343" t="s">
        <v>19</v>
      </c>
      <c r="G343" s="2">
        <v>45782</v>
      </c>
      <c r="H343" t="s">
        <v>91</v>
      </c>
      <c r="I343" t="s">
        <v>91</v>
      </c>
      <c r="J343">
        <v>7.9573</v>
      </c>
      <c r="K343" t="s">
        <v>92</v>
      </c>
      <c r="L343">
        <v>2</v>
      </c>
      <c r="M343">
        <v>7.4747000000000003</v>
      </c>
      <c r="N343">
        <v>0.4825999999999997</v>
      </c>
      <c r="O343" s="3">
        <v>45782</v>
      </c>
    </row>
    <row r="344" spans="1:15" x14ac:dyDescent="0.25">
      <c r="A344" t="s">
        <v>101</v>
      </c>
      <c r="B344" t="s">
        <v>16</v>
      </c>
      <c r="C344">
        <v>31.73969970191429</v>
      </c>
      <c r="D344" t="s">
        <v>89</v>
      </c>
      <c r="E344" t="s">
        <v>102</v>
      </c>
      <c r="F344" t="s">
        <v>19</v>
      </c>
      <c r="G344" s="2">
        <v>45782</v>
      </c>
      <c r="H344" t="s">
        <v>103</v>
      </c>
      <c r="I344" t="s">
        <v>103</v>
      </c>
      <c r="J344">
        <v>7.7991000000000001</v>
      </c>
      <c r="K344" t="s">
        <v>104</v>
      </c>
      <c r="L344">
        <v>2</v>
      </c>
      <c r="M344">
        <v>7.4747000000000003</v>
      </c>
      <c r="N344">
        <v>0.3243999999999998</v>
      </c>
      <c r="O344" s="3">
        <v>45782</v>
      </c>
    </row>
    <row r="345" spans="1:15" x14ac:dyDescent="0.25">
      <c r="A345" t="s">
        <v>88</v>
      </c>
      <c r="B345" t="s">
        <v>16</v>
      </c>
      <c r="C345">
        <v>12.23461866747857</v>
      </c>
      <c r="D345" t="s">
        <v>89</v>
      </c>
      <c r="E345" t="s">
        <v>90</v>
      </c>
      <c r="F345" t="s">
        <v>19</v>
      </c>
      <c r="G345" s="2">
        <v>45782</v>
      </c>
      <c r="H345" t="s">
        <v>91</v>
      </c>
      <c r="I345" t="s">
        <v>91</v>
      </c>
      <c r="J345">
        <v>7.9573</v>
      </c>
      <c r="K345" t="s">
        <v>92</v>
      </c>
      <c r="L345">
        <v>2</v>
      </c>
      <c r="M345">
        <v>7.4747000000000003</v>
      </c>
      <c r="N345">
        <v>0.4825999999999997</v>
      </c>
      <c r="O345" s="3">
        <v>45782</v>
      </c>
    </row>
    <row r="346" spans="1:15" x14ac:dyDescent="0.25">
      <c r="A346" t="s">
        <v>101</v>
      </c>
      <c r="B346" t="s">
        <v>16</v>
      </c>
      <c r="C346">
        <v>33.098713751661911</v>
      </c>
      <c r="D346" t="s">
        <v>89</v>
      </c>
      <c r="E346" t="s">
        <v>102</v>
      </c>
      <c r="F346" t="s">
        <v>19</v>
      </c>
      <c r="G346" s="2">
        <v>45782</v>
      </c>
      <c r="H346" t="s">
        <v>103</v>
      </c>
      <c r="I346" t="s">
        <v>103</v>
      </c>
      <c r="J346">
        <v>7.7991000000000001</v>
      </c>
      <c r="K346" t="s">
        <v>104</v>
      </c>
      <c r="L346">
        <v>2</v>
      </c>
      <c r="M346">
        <v>7.4747000000000003</v>
      </c>
      <c r="N346">
        <v>0.3243999999999998</v>
      </c>
      <c r="O346" s="3">
        <v>45782</v>
      </c>
    </row>
    <row r="347" spans="1:15" x14ac:dyDescent="0.25">
      <c r="A347" t="s">
        <v>93</v>
      </c>
      <c r="B347" t="s">
        <v>16</v>
      </c>
      <c r="C347">
        <v>41.648855774079372</v>
      </c>
      <c r="D347" t="s">
        <v>89</v>
      </c>
      <c r="E347" t="s">
        <v>94</v>
      </c>
      <c r="F347" t="s">
        <v>19</v>
      </c>
      <c r="G347" s="2">
        <v>45782</v>
      </c>
      <c r="H347" t="s">
        <v>95</v>
      </c>
      <c r="I347" t="s">
        <v>95</v>
      </c>
      <c r="J347">
        <v>7.7839</v>
      </c>
      <c r="K347" t="s">
        <v>96</v>
      </c>
      <c r="L347">
        <v>2</v>
      </c>
      <c r="M347">
        <v>7.4747000000000003</v>
      </c>
      <c r="N347">
        <v>0.3091999999999997</v>
      </c>
      <c r="O347" s="3">
        <v>45782</v>
      </c>
    </row>
    <row r="348" spans="1:15" x14ac:dyDescent="0.25">
      <c r="A348" t="s">
        <v>93</v>
      </c>
      <c r="B348" t="s">
        <v>16</v>
      </c>
      <c r="C348">
        <v>34.99105287126666</v>
      </c>
      <c r="D348" t="s">
        <v>89</v>
      </c>
      <c r="E348" t="s">
        <v>94</v>
      </c>
      <c r="F348" t="s">
        <v>19</v>
      </c>
      <c r="G348" s="2">
        <v>45782</v>
      </c>
      <c r="H348" t="s">
        <v>95</v>
      </c>
      <c r="I348" t="s">
        <v>95</v>
      </c>
      <c r="J348">
        <v>7.7839</v>
      </c>
      <c r="K348" t="s">
        <v>96</v>
      </c>
      <c r="L348">
        <v>2</v>
      </c>
      <c r="M348">
        <v>7.4747000000000003</v>
      </c>
      <c r="N348">
        <v>0.3091999999999997</v>
      </c>
      <c r="O348" s="3">
        <v>45782</v>
      </c>
    </row>
    <row r="349" spans="1:15" x14ac:dyDescent="0.25">
      <c r="A349" t="s">
        <v>101</v>
      </c>
      <c r="B349" t="s">
        <v>16</v>
      </c>
      <c r="C349">
        <v>36.267272797970243</v>
      </c>
      <c r="D349" t="s">
        <v>89</v>
      </c>
      <c r="E349" t="s">
        <v>102</v>
      </c>
      <c r="F349" t="s">
        <v>19</v>
      </c>
      <c r="G349" s="2">
        <v>45782</v>
      </c>
      <c r="H349" t="s">
        <v>103</v>
      </c>
      <c r="I349" t="s">
        <v>103</v>
      </c>
      <c r="J349">
        <v>7.7991000000000001</v>
      </c>
      <c r="K349" t="s">
        <v>104</v>
      </c>
      <c r="L349">
        <v>2</v>
      </c>
      <c r="M349">
        <v>7.4747000000000003</v>
      </c>
      <c r="N349">
        <v>0.3243999999999998</v>
      </c>
      <c r="O349" s="3">
        <v>45782</v>
      </c>
    </row>
    <row r="350" spans="1:15" x14ac:dyDescent="0.25">
      <c r="A350" t="s">
        <v>97</v>
      </c>
      <c r="B350" t="s">
        <v>16</v>
      </c>
      <c r="C350">
        <v>65.122794798873826</v>
      </c>
      <c r="D350" t="s">
        <v>89</v>
      </c>
      <c r="E350" t="s">
        <v>98</v>
      </c>
      <c r="F350" t="s">
        <v>19</v>
      </c>
      <c r="G350" s="2">
        <v>45782</v>
      </c>
      <c r="H350" t="s">
        <v>99</v>
      </c>
      <c r="I350" t="s">
        <v>99</v>
      </c>
      <c r="J350">
        <v>9.2637</v>
      </c>
      <c r="K350" t="s">
        <v>100</v>
      </c>
      <c r="L350">
        <v>2</v>
      </c>
      <c r="M350">
        <v>7.4747000000000003</v>
      </c>
      <c r="N350">
        <v>1.7889999999999999</v>
      </c>
      <c r="O350" s="3">
        <v>45782</v>
      </c>
    </row>
    <row r="351" spans="1:15" x14ac:dyDescent="0.25">
      <c r="A351" t="s">
        <v>101</v>
      </c>
      <c r="B351" t="s">
        <v>16</v>
      </c>
      <c r="C351">
        <v>342.09133187728452</v>
      </c>
      <c r="D351" t="s">
        <v>89</v>
      </c>
      <c r="E351" t="s">
        <v>102</v>
      </c>
      <c r="F351" t="s">
        <v>19</v>
      </c>
      <c r="G351" s="2">
        <v>45782</v>
      </c>
      <c r="H351" t="s">
        <v>103</v>
      </c>
      <c r="I351" t="s">
        <v>103</v>
      </c>
      <c r="J351">
        <v>7.7991000000000001</v>
      </c>
      <c r="K351" t="s">
        <v>104</v>
      </c>
      <c r="L351">
        <v>2</v>
      </c>
      <c r="M351">
        <v>7.4747000000000003</v>
      </c>
      <c r="N351">
        <v>0.3243999999999998</v>
      </c>
      <c r="O351" s="3">
        <v>45782</v>
      </c>
    </row>
    <row r="352" spans="1:15" x14ac:dyDescent="0.25">
      <c r="A352" t="s">
        <v>93</v>
      </c>
      <c r="B352" t="s">
        <v>16</v>
      </c>
      <c r="C352">
        <v>40.890217846467458</v>
      </c>
      <c r="D352" t="s">
        <v>89</v>
      </c>
      <c r="E352" t="s">
        <v>94</v>
      </c>
      <c r="F352" t="s">
        <v>19</v>
      </c>
      <c r="G352" s="2">
        <v>45782</v>
      </c>
      <c r="H352" t="s">
        <v>95</v>
      </c>
      <c r="I352" t="s">
        <v>95</v>
      </c>
      <c r="J352">
        <v>7.7839</v>
      </c>
      <c r="K352" t="s">
        <v>96</v>
      </c>
      <c r="L352">
        <v>2</v>
      </c>
      <c r="M352">
        <v>7.4747000000000003</v>
      </c>
      <c r="N352">
        <v>0.3091999999999997</v>
      </c>
      <c r="O352" s="3">
        <v>45782</v>
      </c>
    </row>
    <row r="353" spans="1:15" x14ac:dyDescent="0.25">
      <c r="A353" t="s">
        <v>101</v>
      </c>
      <c r="B353" t="s">
        <v>16</v>
      </c>
      <c r="C353">
        <v>18.217107353434521</v>
      </c>
      <c r="D353" t="s">
        <v>89</v>
      </c>
      <c r="E353" t="s">
        <v>102</v>
      </c>
      <c r="F353" t="s">
        <v>19</v>
      </c>
      <c r="G353" s="2">
        <v>45782</v>
      </c>
      <c r="H353" t="s">
        <v>103</v>
      </c>
      <c r="I353" t="s">
        <v>103</v>
      </c>
      <c r="J353">
        <v>7.7991000000000001</v>
      </c>
      <c r="K353" t="s">
        <v>104</v>
      </c>
      <c r="L353">
        <v>2</v>
      </c>
      <c r="M353">
        <v>7.4747000000000003</v>
      </c>
      <c r="N353">
        <v>0.3243999999999998</v>
      </c>
      <c r="O353" s="3">
        <v>45782</v>
      </c>
    </row>
    <row r="354" spans="1:15" x14ac:dyDescent="0.25">
      <c r="A354" t="s">
        <v>97</v>
      </c>
      <c r="B354" t="s">
        <v>16</v>
      </c>
      <c r="C354">
        <v>37.254517319850798</v>
      </c>
      <c r="D354" t="s">
        <v>89</v>
      </c>
      <c r="E354" t="s">
        <v>98</v>
      </c>
      <c r="F354" t="s">
        <v>19</v>
      </c>
      <c r="G354" s="2">
        <v>45782</v>
      </c>
      <c r="H354" t="s">
        <v>99</v>
      </c>
      <c r="I354" t="s">
        <v>99</v>
      </c>
      <c r="J354">
        <v>9.2637</v>
      </c>
      <c r="K354" t="s">
        <v>100</v>
      </c>
      <c r="L354">
        <v>2</v>
      </c>
      <c r="M354">
        <v>7.4747000000000003</v>
      </c>
      <c r="N354">
        <v>1.7889999999999999</v>
      </c>
      <c r="O354" s="3">
        <v>45782</v>
      </c>
    </row>
    <row r="355" spans="1:15" x14ac:dyDescent="0.25">
      <c r="A355" t="s">
        <v>93</v>
      </c>
      <c r="B355" t="s">
        <v>16</v>
      </c>
      <c r="C355">
        <v>25.75361246352897</v>
      </c>
      <c r="D355" t="s">
        <v>89</v>
      </c>
      <c r="E355" t="s">
        <v>94</v>
      </c>
      <c r="F355" t="s">
        <v>19</v>
      </c>
      <c r="G355" s="2">
        <v>45782</v>
      </c>
      <c r="H355" t="s">
        <v>95</v>
      </c>
      <c r="I355" t="s">
        <v>95</v>
      </c>
      <c r="J355">
        <v>7.7839</v>
      </c>
      <c r="K355" t="s">
        <v>96</v>
      </c>
      <c r="L355">
        <v>2</v>
      </c>
      <c r="M355">
        <v>7.4747000000000003</v>
      </c>
      <c r="N355">
        <v>0.3091999999999997</v>
      </c>
      <c r="O355" s="3">
        <v>45782</v>
      </c>
    </row>
    <row r="356" spans="1:15" x14ac:dyDescent="0.25">
      <c r="A356" t="s">
        <v>97</v>
      </c>
      <c r="B356" t="s">
        <v>16</v>
      </c>
      <c r="C356">
        <v>8.263398562322223</v>
      </c>
      <c r="D356" t="s">
        <v>89</v>
      </c>
      <c r="E356" t="s">
        <v>98</v>
      </c>
      <c r="F356" t="s">
        <v>19</v>
      </c>
      <c r="G356" s="2">
        <v>45782</v>
      </c>
      <c r="H356" t="s">
        <v>99</v>
      </c>
      <c r="I356" t="s">
        <v>99</v>
      </c>
      <c r="J356">
        <v>9.2637</v>
      </c>
      <c r="K356" t="s">
        <v>100</v>
      </c>
      <c r="L356">
        <v>2</v>
      </c>
      <c r="M356">
        <v>7.4747000000000003</v>
      </c>
      <c r="N356">
        <v>1.7889999999999999</v>
      </c>
      <c r="O356" s="3">
        <v>45782</v>
      </c>
    </row>
    <row r="357" spans="1:15" x14ac:dyDescent="0.25">
      <c r="A357" t="s">
        <v>97</v>
      </c>
      <c r="B357" t="s">
        <v>16</v>
      </c>
      <c r="C357">
        <v>5.7282436666928573</v>
      </c>
      <c r="D357" t="s">
        <v>89</v>
      </c>
      <c r="E357" t="s">
        <v>98</v>
      </c>
      <c r="F357" t="s">
        <v>19</v>
      </c>
      <c r="G357" s="2">
        <v>45782</v>
      </c>
      <c r="H357" t="s">
        <v>99</v>
      </c>
      <c r="I357" t="s">
        <v>99</v>
      </c>
      <c r="J357">
        <v>9.2637</v>
      </c>
      <c r="K357" t="s">
        <v>100</v>
      </c>
      <c r="L357">
        <v>2</v>
      </c>
      <c r="M357">
        <v>7.4747000000000003</v>
      </c>
      <c r="N357">
        <v>1.7889999999999999</v>
      </c>
      <c r="O357" s="3">
        <v>45782</v>
      </c>
    </row>
    <row r="358" spans="1:15" x14ac:dyDescent="0.25">
      <c r="A358" t="s">
        <v>97</v>
      </c>
      <c r="B358" t="s">
        <v>16</v>
      </c>
      <c r="C358">
        <v>12.17053469047619</v>
      </c>
      <c r="D358" t="s">
        <v>89</v>
      </c>
      <c r="E358" t="s">
        <v>98</v>
      </c>
      <c r="F358" t="s">
        <v>19</v>
      </c>
      <c r="G358" s="2">
        <v>45782</v>
      </c>
      <c r="H358" t="s">
        <v>99</v>
      </c>
      <c r="I358" t="s">
        <v>99</v>
      </c>
      <c r="J358">
        <v>9.2637</v>
      </c>
      <c r="K358" t="s">
        <v>100</v>
      </c>
      <c r="L358">
        <v>2</v>
      </c>
      <c r="M358">
        <v>7.4747000000000003</v>
      </c>
      <c r="N358">
        <v>1.7889999999999999</v>
      </c>
      <c r="O358" s="3">
        <v>45782</v>
      </c>
    </row>
    <row r="359" spans="1:15" x14ac:dyDescent="0.25">
      <c r="A359" t="s">
        <v>93</v>
      </c>
      <c r="B359" t="s">
        <v>16</v>
      </c>
      <c r="C359">
        <v>23.233285004680951</v>
      </c>
      <c r="D359" t="s">
        <v>89</v>
      </c>
      <c r="E359" t="s">
        <v>94</v>
      </c>
      <c r="F359" t="s">
        <v>19</v>
      </c>
      <c r="G359" s="2">
        <v>45782</v>
      </c>
      <c r="H359" t="s">
        <v>95</v>
      </c>
      <c r="I359" t="s">
        <v>95</v>
      </c>
      <c r="J359">
        <v>7.7839</v>
      </c>
      <c r="K359" t="s">
        <v>96</v>
      </c>
      <c r="L359">
        <v>2</v>
      </c>
      <c r="M359">
        <v>7.4747000000000003</v>
      </c>
      <c r="N359">
        <v>0.3091999999999997</v>
      </c>
      <c r="O359" s="3">
        <v>45782</v>
      </c>
    </row>
    <row r="360" spans="1:15" x14ac:dyDescent="0.25">
      <c r="A360" t="s">
        <v>88</v>
      </c>
      <c r="B360" t="s">
        <v>16</v>
      </c>
      <c r="C360">
        <v>10.76101608514286</v>
      </c>
      <c r="D360" t="s">
        <v>89</v>
      </c>
      <c r="E360" t="s">
        <v>90</v>
      </c>
      <c r="F360" t="s">
        <v>19</v>
      </c>
      <c r="G360" s="2">
        <v>45782</v>
      </c>
      <c r="H360" t="s">
        <v>91</v>
      </c>
      <c r="I360" t="s">
        <v>91</v>
      </c>
      <c r="J360">
        <v>7.9573</v>
      </c>
      <c r="K360" t="s">
        <v>92</v>
      </c>
      <c r="L360">
        <v>2</v>
      </c>
      <c r="M360">
        <v>7.4747000000000003</v>
      </c>
      <c r="N360">
        <v>0.4825999999999997</v>
      </c>
      <c r="O360" s="3">
        <v>45782</v>
      </c>
    </row>
    <row r="361" spans="1:15" x14ac:dyDescent="0.25">
      <c r="A361" t="s">
        <v>88</v>
      </c>
      <c r="B361" t="s">
        <v>16</v>
      </c>
      <c r="C361">
        <v>13.28762523424286</v>
      </c>
      <c r="D361" t="s">
        <v>89</v>
      </c>
      <c r="E361" t="s">
        <v>90</v>
      </c>
      <c r="F361" t="s">
        <v>19</v>
      </c>
      <c r="G361" s="2">
        <v>45782</v>
      </c>
      <c r="H361" t="s">
        <v>91</v>
      </c>
      <c r="I361" t="s">
        <v>91</v>
      </c>
      <c r="J361">
        <v>7.9573</v>
      </c>
      <c r="K361" t="s">
        <v>92</v>
      </c>
      <c r="L361">
        <v>2</v>
      </c>
      <c r="M361">
        <v>7.4747000000000003</v>
      </c>
      <c r="N361">
        <v>0.4825999999999997</v>
      </c>
      <c r="O361" s="3">
        <v>45782</v>
      </c>
    </row>
    <row r="362" spans="1:15" x14ac:dyDescent="0.25">
      <c r="A362" t="s">
        <v>97</v>
      </c>
      <c r="B362" t="s">
        <v>16</v>
      </c>
      <c r="C362">
        <v>9.9777221453928586</v>
      </c>
      <c r="D362" t="s">
        <v>89</v>
      </c>
      <c r="E362" t="s">
        <v>98</v>
      </c>
      <c r="F362" t="s">
        <v>19</v>
      </c>
      <c r="G362" s="2">
        <v>45782</v>
      </c>
      <c r="H362" t="s">
        <v>99</v>
      </c>
      <c r="I362" t="s">
        <v>99</v>
      </c>
      <c r="J362">
        <v>9.2637</v>
      </c>
      <c r="K362" t="s">
        <v>100</v>
      </c>
      <c r="L362">
        <v>2</v>
      </c>
      <c r="M362">
        <v>7.4747000000000003</v>
      </c>
      <c r="N362">
        <v>1.7889999999999999</v>
      </c>
      <c r="O362" s="3">
        <v>45782</v>
      </c>
    </row>
    <row r="363" spans="1:15" x14ac:dyDescent="0.25">
      <c r="A363" t="s">
        <v>97</v>
      </c>
      <c r="B363" t="s">
        <v>16</v>
      </c>
      <c r="C363">
        <v>36.231219093684132</v>
      </c>
      <c r="D363" t="s">
        <v>89</v>
      </c>
      <c r="E363" t="s">
        <v>98</v>
      </c>
      <c r="F363" t="s">
        <v>19</v>
      </c>
      <c r="G363" s="2">
        <v>45782</v>
      </c>
      <c r="H363" t="s">
        <v>99</v>
      </c>
      <c r="I363" t="s">
        <v>99</v>
      </c>
      <c r="J363">
        <v>9.2637</v>
      </c>
      <c r="K363" t="s">
        <v>100</v>
      </c>
      <c r="L363">
        <v>2</v>
      </c>
      <c r="M363">
        <v>7.4747000000000003</v>
      </c>
      <c r="N363">
        <v>1.7889999999999999</v>
      </c>
      <c r="O363" s="3">
        <v>45782</v>
      </c>
    </row>
    <row r="364" spans="1:15" x14ac:dyDescent="0.25">
      <c r="A364" t="s">
        <v>88</v>
      </c>
      <c r="B364" t="s">
        <v>16</v>
      </c>
      <c r="C364">
        <v>6.2539909435928571</v>
      </c>
      <c r="D364" t="s">
        <v>89</v>
      </c>
      <c r="E364" t="s">
        <v>90</v>
      </c>
      <c r="F364" t="s">
        <v>19</v>
      </c>
      <c r="G364" s="2">
        <v>45782</v>
      </c>
      <c r="H364" t="s">
        <v>91</v>
      </c>
      <c r="I364" t="s">
        <v>91</v>
      </c>
      <c r="J364">
        <v>7.9573</v>
      </c>
      <c r="K364" t="s">
        <v>92</v>
      </c>
      <c r="L364">
        <v>2</v>
      </c>
      <c r="M364">
        <v>7.4747000000000003</v>
      </c>
      <c r="N364">
        <v>0.4825999999999997</v>
      </c>
      <c r="O364" s="3">
        <v>45782</v>
      </c>
    </row>
    <row r="365" spans="1:15" x14ac:dyDescent="0.25">
      <c r="A365" t="s">
        <v>101</v>
      </c>
      <c r="B365" t="s">
        <v>16</v>
      </c>
      <c r="C365">
        <v>12.022851845949999</v>
      </c>
      <c r="D365" t="s">
        <v>89</v>
      </c>
      <c r="E365" t="s">
        <v>102</v>
      </c>
      <c r="F365" t="s">
        <v>19</v>
      </c>
      <c r="G365" s="2">
        <v>45782</v>
      </c>
      <c r="H365" t="s">
        <v>103</v>
      </c>
      <c r="I365" t="s">
        <v>103</v>
      </c>
      <c r="J365">
        <v>7.7991000000000001</v>
      </c>
      <c r="K365" t="s">
        <v>104</v>
      </c>
      <c r="L365">
        <v>2</v>
      </c>
      <c r="M365">
        <v>7.4747000000000003</v>
      </c>
      <c r="N365">
        <v>0.3243999999999998</v>
      </c>
      <c r="O365" s="3">
        <v>45782</v>
      </c>
    </row>
    <row r="366" spans="1:15" x14ac:dyDescent="0.25">
      <c r="A366" t="s">
        <v>93</v>
      </c>
      <c r="B366" t="s">
        <v>16</v>
      </c>
      <c r="C366">
        <v>313.676627096554</v>
      </c>
      <c r="D366" t="s">
        <v>89</v>
      </c>
      <c r="E366" t="s">
        <v>94</v>
      </c>
      <c r="F366" t="s">
        <v>19</v>
      </c>
      <c r="G366" s="2">
        <v>45782</v>
      </c>
      <c r="H366" t="s">
        <v>95</v>
      </c>
      <c r="I366" t="s">
        <v>95</v>
      </c>
      <c r="J366">
        <v>7.7839</v>
      </c>
      <c r="K366" t="s">
        <v>96</v>
      </c>
      <c r="L366">
        <v>2</v>
      </c>
      <c r="M366">
        <v>7.4747000000000003</v>
      </c>
      <c r="N366">
        <v>0.3091999999999997</v>
      </c>
      <c r="O366" s="3">
        <v>45782</v>
      </c>
    </row>
    <row r="367" spans="1:15" x14ac:dyDescent="0.25">
      <c r="A367" t="s">
        <v>93</v>
      </c>
      <c r="B367" t="s">
        <v>16</v>
      </c>
      <c r="C367">
        <v>11.029794630534131</v>
      </c>
      <c r="D367" t="s">
        <v>89</v>
      </c>
      <c r="E367" t="s">
        <v>94</v>
      </c>
      <c r="F367" t="s">
        <v>19</v>
      </c>
      <c r="G367" s="2">
        <v>45782</v>
      </c>
      <c r="H367" t="s">
        <v>95</v>
      </c>
      <c r="I367" t="s">
        <v>95</v>
      </c>
      <c r="J367">
        <v>7.7839</v>
      </c>
      <c r="K367" t="s">
        <v>96</v>
      </c>
      <c r="L367">
        <v>2</v>
      </c>
      <c r="M367">
        <v>7.4747000000000003</v>
      </c>
      <c r="N367">
        <v>0.3091999999999997</v>
      </c>
      <c r="O367" s="3">
        <v>45782</v>
      </c>
    </row>
    <row r="368" spans="1:15" x14ac:dyDescent="0.25">
      <c r="A368" t="s">
        <v>93</v>
      </c>
      <c r="B368" t="s">
        <v>16</v>
      </c>
      <c r="C368">
        <v>319.87595136566671</v>
      </c>
      <c r="D368" t="s">
        <v>89</v>
      </c>
      <c r="E368" t="s">
        <v>94</v>
      </c>
      <c r="F368" t="s">
        <v>19</v>
      </c>
      <c r="G368" s="2">
        <v>45782</v>
      </c>
      <c r="H368" t="s">
        <v>95</v>
      </c>
      <c r="I368" t="s">
        <v>95</v>
      </c>
      <c r="J368">
        <v>7.7839</v>
      </c>
      <c r="K368" t="s">
        <v>96</v>
      </c>
      <c r="L368">
        <v>2</v>
      </c>
      <c r="M368">
        <v>7.4747000000000003</v>
      </c>
      <c r="N368">
        <v>0.3091999999999997</v>
      </c>
      <c r="O368" s="3">
        <v>45782</v>
      </c>
    </row>
    <row r="369" spans="1:15" x14ac:dyDescent="0.25">
      <c r="A369" t="s">
        <v>97</v>
      </c>
      <c r="B369" t="s">
        <v>16</v>
      </c>
      <c r="C369">
        <v>35.711446250546032</v>
      </c>
      <c r="D369" t="s">
        <v>89</v>
      </c>
      <c r="E369" t="s">
        <v>98</v>
      </c>
      <c r="F369" t="s">
        <v>19</v>
      </c>
      <c r="G369" s="2">
        <v>45782</v>
      </c>
      <c r="H369" t="s">
        <v>99</v>
      </c>
      <c r="I369" t="s">
        <v>99</v>
      </c>
      <c r="J369">
        <v>9.2637</v>
      </c>
      <c r="K369" t="s">
        <v>100</v>
      </c>
      <c r="L369">
        <v>2</v>
      </c>
      <c r="M369">
        <v>7.4747000000000003</v>
      </c>
      <c r="N369">
        <v>1.7889999999999999</v>
      </c>
      <c r="O369" s="3">
        <v>45782</v>
      </c>
    </row>
    <row r="370" spans="1:15" x14ac:dyDescent="0.25">
      <c r="A370" t="s">
        <v>88</v>
      </c>
      <c r="B370" t="s">
        <v>16</v>
      </c>
      <c r="C370">
        <v>12.931063709325</v>
      </c>
      <c r="D370" t="s">
        <v>89</v>
      </c>
      <c r="E370" t="s">
        <v>90</v>
      </c>
      <c r="F370" t="s">
        <v>19</v>
      </c>
      <c r="G370" s="2">
        <v>45782</v>
      </c>
      <c r="H370" t="s">
        <v>91</v>
      </c>
      <c r="I370" t="s">
        <v>91</v>
      </c>
      <c r="J370">
        <v>7.9573</v>
      </c>
      <c r="K370" t="s">
        <v>92</v>
      </c>
      <c r="L370">
        <v>2</v>
      </c>
      <c r="M370">
        <v>7.4747000000000003</v>
      </c>
      <c r="N370">
        <v>0.4825999999999997</v>
      </c>
      <c r="O370" s="3">
        <v>45782</v>
      </c>
    </row>
    <row r="371" spans="1:15" x14ac:dyDescent="0.25">
      <c r="A371" t="s">
        <v>101</v>
      </c>
      <c r="B371" t="s">
        <v>16</v>
      </c>
      <c r="C371">
        <v>10.58524058428571</v>
      </c>
      <c r="D371" t="s">
        <v>89</v>
      </c>
      <c r="E371" t="s">
        <v>102</v>
      </c>
      <c r="F371" t="s">
        <v>19</v>
      </c>
      <c r="G371" s="2">
        <v>45782</v>
      </c>
      <c r="H371" t="s">
        <v>103</v>
      </c>
      <c r="I371" t="s">
        <v>103</v>
      </c>
      <c r="J371">
        <v>7.7991000000000001</v>
      </c>
      <c r="K371" t="s">
        <v>104</v>
      </c>
      <c r="L371">
        <v>2</v>
      </c>
      <c r="M371">
        <v>7.4747000000000003</v>
      </c>
      <c r="N371">
        <v>0.3243999999999998</v>
      </c>
      <c r="O371" s="3">
        <v>45782</v>
      </c>
    </row>
    <row r="372" spans="1:15" x14ac:dyDescent="0.25">
      <c r="A372" t="s">
        <v>101</v>
      </c>
      <c r="B372" t="s">
        <v>16</v>
      </c>
      <c r="C372">
        <v>14.79456534814762</v>
      </c>
      <c r="D372" t="s">
        <v>89</v>
      </c>
      <c r="E372" t="s">
        <v>102</v>
      </c>
      <c r="F372" t="s">
        <v>19</v>
      </c>
      <c r="G372" s="2">
        <v>45782</v>
      </c>
      <c r="H372" t="s">
        <v>103</v>
      </c>
      <c r="I372" t="s">
        <v>103</v>
      </c>
      <c r="J372">
        <v>7.7991000000000001</v>
      </c>
      <c r="K372" t="s">
        <v>104</v>
      </c>
      <c r="L372">
        <v>2</v>
      </c>
      <c r="M372">
        <v>7.4747000000000003</v>
      </c>
      <c r="N372">
        <v>0.3243999999999998</v>
      </c>
      <c r="O372" s="3">
        <v>45782</v>
      </c>
    </row>
    <row r="373" spans="1:15" x14ac:dyDescent="0.25">
      <c r="A373" t="s">
        <v>88</v>
      </c>
      <c r="B373" t="s">
        <v>16</v>
      </c>
      <c r="C373">
        <v>15.247574187450001</v>
      </c>
      <c r="D373" t="s">
        <v>89</v>
      </c>
      <c r="E373" t="s">
        <v>90</v>
      </c>
      <c r="F373" t="s">
        <v>19</v>
      </c>
      <c r="G373" s="2">
        <v>45782</v>
      </c>
      <c r="H373" t="s">
        <v>91</v>
      </c>
      <c r="I373" t="s">
        <v>91</v>
      </c>
      <c r="J373">
        <v>7.9573</v>
      </c>
      <c r="K373" t="s">
        <v>92</v>
      </c>
      <c r="L373">
        <v>2</v>
      </c>
      <c r="M373">
        <v>7.4747000000000003</v>
      </c>
      <c r="N373">
        <v>0.4825999999999997</v>
      </c>
      <c r="O373" s="3">
        <v>45782</v>
      </c>
    </row>
    <row r="374" spans="1:15" x14ac:dyDescent="0.25">
      <c r="A374" t="s">
        <v>101</v>
      </c>
      <c r="B374" t="s">
        <v>16</v>
      </c>
      <c r="C374">
        <v>0.23044466426666671</v>
      </c>
      <c r="D374" t="s">
        <v>89</v>
      </c>
      <c r="E374" t="s">
        <v>102</v>
      </c>
      <c r="F374" t="s">
        <v>19</v>
      </c>
      <c r="G374" s="2">
        <v>45782</v>
      </c>
      <c r="H374" t="s">
        <v>103</v>
      </c>
      <c r="I374" t="s">
        <v>103</v>
      </c>
      <c r="J374">
        <v>7.7991000000000001</v>
      </c>
      <c r="K374" t="s">
        <v>104</v>
      </c>
      <c r="L374">
        <v>2</v>
      </c>
      <c r="M374">
        <v>7.4747000000000003</v>
      </c>
      <c r="N374">
        <v>0.3243999999999998</v>
      </c>
      <c r="O374" s="3">
        <v>45782</v>
      </c>
    </row>
    <row r="375" spans="1:15" x14ac:dyDescent="0.25">
      <c r="A375" t="s">
        <v>88</v>
      </c>
      <c r="B375" t="s">
        <v>16</v>
      </c>
      <c r="C375">
        <v>45.491424363728576</v>
      </c>
      <c r="D375" t="s">
        <v>89</v>
      </c>
      <c r="E375" t="s">
        <v>90</v>
      </c>
      <c r="F375" t="s">
        <v>19</v>
      </c>
      <c r="G375" s="2">
        <v>45782</v>
      </c>
      <c r="H375" t="s">
        <v>91</v>
      </c>
      <c r="I375" t="s">
        <v>91</v>
      </c>
      <c r="J375">
        <v>7.9573</v>
      </c>
      <c r="K375" t="s">
        <v>92</v>
      </c>
      <c r="L375">
        <v>2</v>
      </c>
      <c r="M375">
        <v>7.4747000000000003</v>
      </c>
      <c r="N375">
        <v>0.4825999999999997</v>
      </c>
      <c r="O375" s="3">
        <v>45782</v>
      </c>
    </row>
    <row r="376" spans="1:15" x14ac:dyDescent="0.25">
      <c r="A376" t="s">
        <v>97</v>
      </c>
      <c r="B376" t="s">
        <v>16</v>
      </c>
      <c r="C376">
        <v>3.5306189807571431</v>
      </c>
      <c r="D376" t="s">
        <v>89</v>
      </c>
      <c r="E376" t="s">
        <v>98</v>
      </c>
      <c r="F376" t="s">
        <v>19</v>
      </c>
      <c r="G376" s="2">
        <v>45782</v>
      </c>
      <c r="H376" t="s">
        <v>99</v>
      </c>
      <c r="I376" t="s">
        <v>99</v>
      </c>
      <c r="J376">
        <v>9.2637</v>
      </c>
      <c r="K376" t="s">
        <v>100</v>
      </c>
      <c r="L376">
        <v>2</v>
      </c>
      <c r="M376">
        <v>7.4747000000000003</v>
      </c>
      <c r="N376">
        <v>1.7889999999999999</v>
      </c>
      <c r="O376" s="3">
        <v>45782</v>
      </c>
    </row>
    <row r="377" spans="1:15" x14ac:dyDescent="0.25">
      <c r="A377" t="s">
        <v>97</v>
      </c>
      <c r="B377" t="s">
        <v>16</v>
      </c>
      <c r="C377">
        <v>0.65826064953174601</v>
      </c>
      <c r="D377" t="s">
        <v>89</v>
      </c>
      <c r="E377" t="s">
        <v>98</v>
      </c>
      <c r="F377" t="s">
        <v>19</v>
      </c>
      <c r="G377" s="2">
        <v>45782</v>
      </c>
      <c r="H377" t="s">
        <v>99</v>
      </c>
      <c r="I377" t="s">
        <v>99</v>
      </c>
      <c r="J377">
        <v>9.2637</v>
      </c>
      <c r="K377" t="s">
        <v>100</v>
      </c>
      <c r="L377">
        <v>2</v>
      </c>
      <c r="M377">
        <v>7.4747000000000003</v>
      </c>
      <c r="N377">
        <v>1.7889999999999999</v>
      </c>
      <c r="O377" s="3">
        <v>45782</v>
      </c>
    </row>
    <row r="378" spans="1:15" x14ac:dyDescent="0.25">
      <c r="A378" t="s">
        <v>88</v>
      </c>
      <c r="B378" t="s">
        <v>16</v>
      </c>
      <c r="C378">
        <v>4.9931112892714298</v>
      </c>
      <c r="D378" t="s">
        <v>89</v>
      </c>
      <c r="E378" t="s">
        <v>90</v>
      </c>
      <c r="F378" t="s">
        <v>19</v>
      </c>
      <c r="G378" s="2">
        <v>45782</v>
      </c>
      <c r="H378" t="s">
        <v>91</v>
      </c>
      <c r="I378" t="s">
        <v>91</v>
      </c>
      <c r="J378">
        <v>7.9573</v>
      </c>
      <c r="K378" t="s">
        <v>92</v>
      </c>
      <c r="L378">
        <v>2</v>
      </c>
      <c r="M378">
        <v>7.4747000000000003</v>
      </c>
      <c r="N378">
        <v>0.4825999999999997</v>
      </c>
      <c r="O378" s="3">
        <v>45782</v>
      </c>
    </row>
    <row r="379" spans="1:15" x14ac:dyDescent="0.25">
      <c r="A379" t="s">
        <v>101</v>
      </c>
      <c r="B379" t="s">
        <v>16</v>
      </c>
      <c r="C379">
        <v>7.9764902496583323</v>
      </c>
      <c r="D379" t="s">
        <v>89</v>
      </c>
      <c r="E379" t="s">
        <v>102</v>
      </c>
      <c r="F379" t="s">
        <v>19</v>
      </c>
      <c r="G379" s="2">
        <v>45782</v>
      </c>
      <c r="H379" t="s">
        <v>103</v>
      </c>
      <c r="I379" t="s">
        <v>103</v>
      </c>
      <c r="J379">
        <v>7.7991000000000001</v>
      </c>
      <c r="K379" t="s">
        <v>104</v>
      </c>
      <c r="L379">
        <v>2</v>
      </c>
      <c r="M379">
        <v>7.4747000000000003</v>
      </c>
      <c r="N379">
        <v>0.3243999999999998</v>
      </c>
      <c r="O379" s="3">
        <v>45782</v>
      </c>
    </row>
    <row r="380" spans="1:15" x14ac:dyDescent="0.25">
      <c r="A380" t="s">
        <v>101</v>
      </c>
      <c r="B380" t="s">
        <v>16</v>
      </c>
      <c r="C380">
        <v>339.12919950218583</v>
      </c>
      <c r="D380" t="s">
        <v>89</v>
      </c>
      <c r="E380" t="s">
        <v>102</v>
      </c>
      <c r="F380" t="s">
        <v>19</v>
      </c>
      <c r="G380" s="2">
        <v>45782</v>
      </c>
      <c r="H380" t="s">
        <v>103</v>
      </c>
      <c r="I380" t="s">
        <v>103</v>
      </c>
      <c r="J380">
        <v>7.7991000000000001</v>
      </c>
      <c r="K380" t="s">
        <v>104</v>
      </c>
      <c r="L380">
        <v>2</v>
      </c>
      <c r="M380">
        <v>7.4747000000000003</v>
      </c>
      <c r="N380">
        <v>0.3243999999999998</v>
      </c>
      <c r="O380" s="3">
        <v>45782</v>
      </c>
    </row>
    <row r="381" spans="1:15" x14ac:dyDescent="0.25">
      <c r="A381" t="s">
        <v>93</v>
      </c>
      <c r="B381" t="s">
        <v>16</v>
      </c>
      <c r="C381">
        <v>27.736035627654761</v>
      </c>
      <c r="D381" t="s">
        <v>89</v>
      </c>
      <c r="E381" t="s">
        <v>94</v>
      </c>
      <c r="F381" t="s">
        <v>19</v>
      </c>
      <c r="G381" s="2">
        <v>45782</v>
      </c>
      <c r="H381" t="s">
        <v>95</v>
      </c>
      <c r="I381" t="s">
        <v>95</v>
      </c>
      <c r="J381">
        <v>7.7839</v>
      </c>
      <c r="K381" t="s">
        <v>96</v>
      </c>
      <c r="L381">
        <v>2</v>
      </c>
      <c r="M381">
        <v>7.4747000000000003</v>
      </c>
      <c r="N381">
        <v>0.3091999999999997</v>
      </c>
      <c r="O381" s="3">
        <v>45782</v>
      </c>
    </row>
    <row r="382" spans="1:15" x14ac:dyDescent="0.25">
      <c r="A382" t="s">
        <v>101</v>
      </c>
      <c r="B382" t="s">
        <v>16</v>
      </c>
      <c r="C382">
        <v>4.776196310285715</v>
      </c>
      <c r="D382" t="s">
        <v>89</v>
      </c>
      <c r="E382" t="s">
        <v>102</v>
      </c>
      <c r="F382" t="s">
        <v>19</v>
      </c>
      <c r="G382" s="2">
        <v>45782</v>
      </c>
      <c r="H382" t="s">
        <v>103</v>
      </c>
      <c r="I382" t="s">
        <v>103</v>
      </c>
      <c r="J382">
        <v>7.7991000000000001</v>
      </c>
      <c r="K382" t="s">
        <v>104</v>
      </c>
      <c r="L382">
        <v>2</v>
      </c>
      <c r="M382">
        <v>7.4747000000000003</v>
      </c>
      <c r="N382">
        <v>0.3243999999999998</v>
      </c>
      <c r="O382" s="3">
        <v>45782</v>
      </c>
    </row>
    <row r="383" spans="1:15" x14ac:dyDescent="0.25">
      <c r="A383" t="s">
        <v>105</v>
      </c>
      <c r="B383" t="s">
        <v>16</v>
      </c>
      <c r="C383">
        <v>28.084553249999999</v>
      </c>
      <c r="D383" t="s">
        <v>106</v>
      </c>
      <c r="E383" t="s">
        <v>107</v>
      </c>
      <c r="F383" t="s">
        <v>19</v>
      </c>
      <c r="G383" s="2">
        <v>45782</v>
      </c>
      <c r="H383" t="s">
        <v>108</v>
      </c>
      <c r="I383" t="s">
        <v>108</v>
      </c>
      <c r="J383">
        <v>6.9795999999999996</v>
      </c>
      <c r="K383" t="s">
        <v>109</v>
      </c>
      <c r="L383">
        <v>2</v>
      </c>
      <c r="M383">
        <v>7.3703000000000003</v>
      </c>
      <c r="N383">
        <v>-0.39070000000000071</v>
      </c>
      <c r="O383" s="3">
        <v>45782</v>
      </c>
    </row>
    <row r="384" spans="1:15" x14ac:dyDescent="0.25">
      <c r="A384" t="s">
        <v>105</v>
      </c>
      <c r="B384" t="s">
        <v>16</v>
      </c>
      <c r="C384">
        <v>31.087909657142859</v>
      </c>
      <c r="D384" t="s">
        <v>106</v>
      </c>
      <c r="E384" t="s">
        <v>107</v>
      </c>
      <c r="F384" t="s">
        <v>19</v>
      </c>
      <c r="G384" s="2">
        <v>45782</v>
      </c>
      <c r="H384" t="s">
        <v>108</v>
      </c>
      <c r="I384" t="s">
        <v>108</v>
      </c>
      <c r="J384">
        <v>6.9795999999999996</v>
      </c>
      <c r="K384" t="s">
        <v>109</v>
      </c>
      <c r="L384">
        <v>2</v>
      </c>
      <c r="M384">
        <v>7.3703000000000003</v>
      </c>
      <c r="N384">
        <v>-0.39070000000000071</v>
      </c>
      <c r="O384" s="3">
        <v>45782</v>
      </c>
    </row>
    <row r="385" spans="1:15" x14ac:dyDescent="0.25">
      <c r="A385" t="s">
        <v>105</v>
      </c>
      <c r="B385" t="s">
        <v>16</v>
      </c>
      <c r="C385">
        <v>3.2803083616071431</v>
      </c>
      <c r="D385" t="s">
        <v>106</v>
      </c>
      <c r="E385" t="s">
        <v>107</v>
      </c>
      <c r="F385" t="s">
        <v>19</v>
      </c>
      <c r="G385" s="2">
        <v>45782</v>
      </c>
      <c r="H385" t="s">
        <v>108</v>
      </c>
      <c r="I385" t="s">
        <v>108</v>
      </c>
      <c r="J385">
        <v>6.9795999999999996</v>
      </c>
      <c r="K385" t="s">
        <v>109</v>
      </c>
      <c r="L385">
        <v>2</v>
      </c>
      <c r="M385">
        <v>7.3703000000000003</v>
      </c>
      <c r="N385">
        <v>-0.39070000000000071</v>
      </c>
      <c r="O385" s="3">
        <v>45782</v>
      </c>
    </row>
    <row r="386" spans="1:15" x14ac:dyDescent="0.25">
      <c r="A386" t="s">
        <v>105</v>
      </c>
      <c r="B386" t="s">
        <v>16</v>
      </c>
      <c r="C386">
        <v>28.448658814285711</v>
      </c>
      <c r="D386" t="s">
        <v>106</v>
      </c>
      <c r="E386" t="s">
        <v>107</v>
      </c>
      <c r="F386" t="s">
        <v>19</v>
      </c>
      <c r="G386" s="2">
        <v>45782</v>
      </c>
      <c r="H386" t="s">
        <v>108</v>
      </c>
      <c r="I386" t="s">
        <v>108</v>
      </c>
      <c r="J386">
        <v>6.9795999999999996</v>
      </c>
      <c r="K386" t="s">
        <v>109</v>
      </c>
      <c r="L386">
        <v>2</v>
      </c>
      <c r="M386">
        <v>7.3703000000000003</v>
      </c>
      <c r="N386">
        <v>-0.39070000000000071</v>
      </c>
      <c r="O386" s="3">
        <v>45782</v>
      </c>
    </row>
    <row r="387" spans="1:15" x14ac:dyDescent="0.25">
      <c r="A387" t="s">
        <v>105</v>
      </c>
      <c r="B387" t="s">
        <v>16</v>
      </c>
      <c r="C387">
        <v>6.4365489044642858</v>
      </c>
      <c r="D387" t="s">
        <v>106</v>
      </c>
      <c r="E387" t="s">
        <v>107</v>
      </c>
      <c r="F387" t="s">
        <v>19</v>
      </c>
      <c r="G387" s="2">
        <v>45782</v>
      </c>
      <c r="H387" t="s">
        <v>108</v>
      </c>
      <c r="I387" t="s">
        <v>108</v>
      </c>
      <c r="J387">
        <v>6.9795999999999996</v>
      </c>
      <c r="K387" t="s">
        <v>109</v>
      </c>
      <c r="L387">
        <v>2</v>
      </c>
      <c r="M387">
        <v>7.3703000000000003</v>
      </c>
      <c r="N387">
        <v>-0.39070000000000071</v>
      </c>
      <c r="O387" s="3">
        <v>45782</v>
      </c>
    </row>
    <row r="388" spans="1:15" x14ac:dyDescent="0.25">
      <c r="A388" t="s">
        <v>105</v>
      </c>
      <c r="B388" t="s">
        <v>16</v>
      </c>
      <c r="C388">
        <v>15.34458330803572</v>
      </c>
      <c r="D388" t="s">
        <v>106</v>
      </c>
      <c r="E388" t="s">
        <v>107</v>
      </c>
      <c r="F388" t="s">
        <v>19</v>
      </c>
      <c r="G388" s="2">
        <v>45782</v>
      </c>
      <c r="H388" t="s">
        <v>108</v>
      </c>
      <c r="I388" t="s">
        <v>108</v>
      </c>
      <c r="J388">
        <v>6.9795999999999996</v>
      </c>
      <c r="K388" t="s">
        <v>109</v>
      </c>
      <c r="L388">
        <v>2</v>
      </c>
      <c r="M388">
        <v>7.3703000000000003</v>
      </c>
      <c r="N388">
        <v>-0.39070000000000071</v>
      </c>
      <c r="O388" s="3">
        <v>45782</v>
      </c>
    </row>
    <row r="389" spans="1:15" x14ac:dyDescent="0.25">
      <c r="A389" t="s">
        <v>105</v>
      </c>
      <c r="B389" t="s">
        <v>16</v>
      </c>
      <c r="C389">
        <v>21.416745442857149</v>
      </c>
      <c r="D389" t="s">
        <v>106</v>
      </c>
      <c r="E389" t="s">
        <v>107</v>
      </c>
      <c r="F389" t="s">
        <v>19</v>
      </c>
      <c r="G389" s="2">
        <v>45782</v>
      </c>
      <c r="H389" t="s">
        <v>108</v>
      </c>
      <c r="I389" t="s">
        <v>108</v>
      </c>
      <c r="J389">
        <v>6.9795999999999996</v>
      </c>
      <c r="K389" t="s">
        <v>109</v>
      </c>
      <c r="L389">
        <v>2</v>
      </c>
      <c r="M389">
        <v>7.3703000000000003</v>
      </c>
      <c r="N389">
        <v>-0.39070000000000071</v>
      </c>
      <c r="O389" s="3">
        <v>45782</v>
      </c>
    </row>
    <row r="390" spans="1:15" x14ac:dyDescent="0.25">
      <c r="A390" t="s">
        <v>105</v>
      </c>
      <c r="B390" t="s">
        <v>16</v>
      </c>
      <c r="C390">
        <v>17.732119414285719</v>
      </c>
      <c r="D390" t="s">
        <v>106</v>
      </c>
      <c r="E390" t="s">
        <v>107</v>
      </c>
      <c r="F390" t="s">
        <v>19</v>
      </c>
      <c r="G390" s="2">
        <v>45782</v>
      </c>
      <c r="H390" t="s">
        <v>108</v>
      </c>
      <c r="I390" t="s">
        <v>108</v>
      </c>
      <c r="J390">
        <v>6.9795999999999996</v>
      </c>
      <c r="K390" t="s">
        <v>109</v>
      </c>
      <c r="L390">
        <v>2</v>
      </c>
      <c r="M390">
        <v>7.3703000000000003</v>
      </c>
      <c r="N390">
        <v>-0.39070000000000071</v>
      </c>
      <c r="O390" s="3">
        <v>45782</v>
      </c>
    </row>
    <row r="391" spans="1:15" x14ac:dyDescent="0.25">
      <c r="A391" t="s">
        <v>105</v>
      </c>
      <c r="B391" t="s">
        <v>16</v>
      </c>
      <c r="C391">
        <v>19.879785430357138</v>
      </c>
      <c r="D391" t="s">
        <v>106</v>
      </c>
      <c r="E391" t="s">
        <v>107</v>
      </c>
      <c r="F391" t="s">
        <v>19</v>
      </c>
      <c r="G391" s="2">
        <v>45782</v>
      </c>
      <c r="H391" t="s">
        <v>108</v>
      </c>
      <c r="I391" t="s">
        <v>108</v>
      </c>
      <c r="J391">
        <v>6.9795999999999996</v>
      </c>
      <c r="K391" t="s">
        <v>109</v>
      </c>
      <c r="L391">
        <v>2</v>
      </c>
      <c r="M391">
        <v>7.3703000000000003</v>
      </c>
      <c r="N391">
        <v>-0.39070000000000071</v>
      </c>
      <c r="O391" s="3">
        <v>45782</v>
      </c>
    </row>
    <row r="392" spans="1:15" x14ac:dyDescent="0.25">
      <c r="A392" t="s">
        <v>105</v>
      </c>
      <c r="B392" t="s">
        <v>16</v>
      </c>
      <c r="C392">
        <v>9.6594903571428592</v>
      </c>
      <c r="D392" t="s">
        <v>106</v>
      </c>
      <c r="E392" t="s">
        <v>107</v>
      </c>
      <c r="F392" t="s">
        <v>19</v>
      </c>
      <c r="G392" s="2">
        <v>45782</v>
      </c>
      <c r="H392" t="s">
        <v>108</v>
      </c>
      <c r="I392" t="s">
        <v>108</v>
      </c>
      <c r="J392">
        <v>6.9795999999999996</v>
      </c>
      <c r="K392" t="s">
        <v>109</v>
      </c>
      <c r="L392">
        <v>2</v>
      </c>
      <c r="M392">
        <v>7.3703000000000003</v>
      </c>
      <c r="N392">
        <v>-0.39070000000000071</v>
      </c>
      <c r="O392" s="3">
        <v>45782</v>
      </c>
    </row>
    <row r="393" spans="1:15" x14ac:dyDescent="0.25">
      <c r="A393" t="s">
        <v>105</v>
      </c>
      <c r="B393" t="s">
        <v>16</v>
      </c>
      <c r="C393">
        <v>25.29375188571429</v>
      </c>
      <c r="D393" t="s">
        <v>106</v>
      </c>
      <c r="E393" t="s">
        <v>107</v>
      </c>
      <c r="F393" t="s">
        <v>19</v>
      </c>
      <c r="G393" s="2">
        <v>45782</v>
      </c>
      <c r="H393" t="s">
        <v>108</v>
      </c>
      <c r="I393" t="s">
        <v>108</v>
      </c>
      <c r="J393">
        <v>6.9795999999999996</v>
      </c>
      <c r="K393" t="s">
        <v>109</v>
      </c>
      <c r="L393">
        <v>2</v>
      </c>
      <c r="M393">
        <v>7.3703000000000003</v>
      </c>
      <c r="N393">
        <v>-0.39070000000000071</v>
      </c>
      <c r="O393" s="3">
        <v>45782</v>
      </c>
    </row>
    <row r="394" spans="1:15" x14ac:dyDescent="0.25">
      <c r="A394" t="s">
        <v>105</v>
      </c>
      <c r="B394" t="s">
        <v>16</v>
      </c>
      <c r="C394">
        <v>12.194173628571431</v>
      </c>
      <c r="D394" t="s">
        <v>106</v>
      </c>
      <c r="E394" t="s">
        <v>107</v>
      </c>
      <c r="F394" t="s">
        <v>19</v>
      </c>
      <c r="G394" s="2">
        <v>45782</v>
      </c>
      <c r="H394" t="s">
        <v>108</v>
      </c>
      <c r="I394" t="s">
        <v>108</v>
      </c>
      <c r="J394">
        <v>6.9795999999999996</v>
      </c>
      <c r="K394" t="s">
        <v>109</v>
      </c>
      <c r="L394">
        <v>2</v>
      </c>
      <c r="M394">
        <v>7.3703000000000003</v>
      </c>
      <c r="N394">
        <v>-0.39070000000000071</v>
      </c>
      <c r="O394" s="3">
        <v>45782</v>
      </c>
    </row>
    <row r="395" spans="1:15" x14ac:dyDescent="0.25">
      <c r="A395" t="s">
        <v>105</v>
      </c>
      <c r="B395" t="s">
        <v>16</v>
      </c>
      <c r="C395">
        <v>24.124456762499999</v>
      </c>
      <c r="D395" t="s">
        <v>106</v>
      </c>
      <c r="E395" t="s">
        <v>107</v>
      </c>
      <c r="F395" t="s">
        <v>19</v>
      </c>
      <c r="G395" s="2">
        <v>45782</v>
      </c>
      <c r="H395" t="s">
        <v>108</v>
      </c>
      <c r="I395" t="s">
        <v>108</v>
      </c>
      <c r="J395">
        <v>6.9795999999999996</v>
      </c>
      <c r="K395" t="s">
        <v>109</v>
      </c>
      <c r="L395">
        <v>2</v>
      </c>
      <c r="M395">
        <v>7.3703000000000003</v>
      </c>
      <c r="N395">
        <v>-0.39070000000000071</v>
      </c>
      <c r="O395" s="3">
        <v>45782</v>
      </c>
    </row>
    <row r="396" spans="1:15" x14ac:dyDescent="0.25">
      <c r="A396" t="s">
        <v>110</v>
      </c>
      <c r="B396" t="s">
        <v>16</v>
      </c>
      <c r="C396">
        <v>43.282769519892867</v>
      </c>
      <c r="D396" t="s">
        <v>106</v>
      </c>
      <c r="E396" t="s">
        <v>111</v>
      </c>
      <c r="F396" t="s">
        <v>19</v>
      </c>
      <c r="G396" s="2">
        <v>45782</v>
      </c>
      <c r="H396" t="s">
        <v>112</v>
      </c>
      <c r="I396" t="s">
        <v>112</v>
      </c>
      <c r="J396">
        <v>7.2465000000000002</v>
      </c>
      <c r="K396" t="s">
        <v>113</v>
      </c>
      <c r="L396">
        <v>2</v>
      </c>
      <c r="M396">
        <v>7.3703000000000003</v>
      </c>
      <c r="N396">
        <v>-0.1238000000000001</v>
      </c>
      <c r="O396" s="3">
        <v>45782</v>
      </c>
    </row>
    <row r="397" spans="1:15" x14ac:dyDescent="0.25">
      <c r="A397" t="s">
        <v>110</v>
      </c>
      <c r="B397" t="s">
        <v>16</v>
      </c>
      <c r="C397">
        <v>798.82524442028557</v>
      </c>
      <c r="D397" t="s">
        <v>106</v>
      </c>
      <c r="E397" t="s">
        <v>111</v>
      </c>
      <c r="F397" t="s">
        <v>19</v>
      </c>
      <c r="G397" s="2">
        <v>45782</v>
      </c>
      <c r="H397" t="s">
        <v>112</v>
      </c>
      <c r="I397" t="s">
        <v>112</v>
      </c>
      <c r="J397">
        <v>7.2465000000000002</v>
      </c>
      <c r="K397" t="s">
        <v>113</v>
      </c>
      <c r="L397">
        <v>2</v>
      </c>
      <c r="M397">
        <v>7.3703000000000003</v>
      </c>
      <c r="N397">
        <v>-0.1238000000000001</v>
      </c>
      <c r="O397" s="3">
        <v>45782</v>
      </c>
    </row>
    <row r="398" spans="1:15" x14ac:dyDescent="0.25">
      <c r="A398" t="s">
        <v>110</v>
      </c>
      <c r="B398" t="s">
        <v>16</v>
      </c>
      <c r="C398">
        <v>66.265555133666666</v>
      </c>
      <c r="D398" t="s">
        <v>106</v>
      </c>
      <c r="E398" t="s">
        <v>111</v>
      </c>
      <c r="F398" t="s">
        <v>19</v>
      </c>
      <c r="G398" s="2">
        <v>45782</v>
      </c>
      <c r="H398" t="s">
        <v>112</v>
      </c>
      <c r="I398" t="s">
        <v>112</v>
      </c>
      <c r="J398">
        <v>7.2465000000000002</v>
      </c>
      <c r="K398" t="s">
        <v>113</v>
      </c>
      <c r="L398">
        <v>2</v>
      </c>
      <c r="M398">
        <v>7.3703000000000003</v>
      </c>
      <c r="N398">
        <v>-0.1238000000000001</v>
      </c>
      <c r="O398" s="3">
        <v>45782</v>
      </c>
    </row>
    <row r="399" spans="1:15" x14ac:dyDescent="0.25">
      <c r="A399" t="s">
        <v>110</v>
      </c>
      <c r="B399" t="s">
        <v>16</v>
      </c>
      <c r="C399">
        <v>63.604886999357149</v>
      </c>
      <c r="D399" t="s">
        <v>106</v>
      </c>
      <c r="E399" t="s">
        <v>111</v>
      </c>
      <c r="F399" t="s">
        <v>19</v>
      </c>
      <c r="G399" s="2">
        <v>45782</v>
      </c>
      <c r="H399" t="s">
        <v>112</v>
      </c>
      <c r="I399" t="s">
        <v>112</v>
      </c>
      <c r="J399">
        <v>7.2465000000000002</v>
      </c>
      <c r="K399" t="s">
        <v>113</v>
      </c>
      <c r="L399">
        <v>2</v>
      </c>
      <c r="M399">
        <v>7.3703000000000003</v>
      </c>
      <c r="N399">
        <v>-0.1238000000000001</v>
      </c>
      <c r="O399" s="3">
        <v>45782</v>
      </c>
    </row>
    <row r="400" spans="1:15" x14ac:dyDescent="0.25">
      <c r="A400" t="s">
        <v>105</v>
      </c>
      <c r="B400" t="s">
        <v>16</v>
      </c>
      <c r="C400">
        <v>1308.595931614286</v>
      </c>
      <c r="D400" t="s">
        <v>106</v>
      </c>
      <c r="E400" t="s">
        <v>107</v>
      </c>
      <c r="F400" t="s">
        <v>19</v>
      </c>
      <c r="G400" s="2">
        <v>45782</v>
      </c>
      <c r="H400" t="s">
        <v>108</v>
      </c>
      <c r="I400" t="s">
        <v>108</v>
      </c>
      <c r="J400">
        <v>6.9795999999999996</v>
      </c>
      <c r="K400" t="s">
        <v>109</v>
      </c>
      <c r="L400">
        <v>2</v>
      </c>
      <c r="M400">
        <v>7.3703000000000003</v>
      </c>
      <c r="N400">
        <v>-0.39070000000000071</v>
      </c>
      <c r="O400" s="3">
        <v>45782</v>
      </c>
    </row>
    <row r="401" spans="1:15" x14ac:dyDescent="0.25">
      <c r="A401" t="s">
        <v>110</v>
      </c>
      <c r="B401" t="s">
        <v>16</v>
      </c>
      <c r="C401">
        <v>764.66831829067849</v>
      </c>
      <c r="D401" t="s">
        <v>106</v>
      </c>
      <c r="E401" t="s">
        <v>111</v>
      </c>
      <c r="F401" t="s">
        <v>19</v>
      </c>
      <c r="G401" s="2">
        <v>45782</v>
      </c>
      <c r="H401" t="s">
        <v>112</v>
      </c>
      <c r="I401" t="s">
        <v>112</v>
      </c>
      <c r="J401">
        <v>7.2465000000000002</v>
      </c>
      <c r="K401" t="s">
        <v>113</v>
      </c>
      <c r="L401">
        <v>2</v>
      </c>
      <c r="M401">
        <v>7.3703000000000003</v>
      </c>
      <c r="N401">
        <v>-0.1238000000000001</v>
      </c>
      <c r="O401" s="3">
        <v>45782</v>
      </c>
    </row>
    <row r="402" spans="1:15" x14ac:dyDescent="0.25">
      <c r="A402" t="s">
        <v>110</v>
      </c>
      <c r="B402" t="s">
        <v>16</v>
      </c>
      <c r="C402">
        <v>22.301673074083329</v>
      </c>
      <c r="D402" t="s">
        <v>106</v>
      </c>
      <c r="E402" t="s">
        <v>111</v>
      </c>
      <c r="F402" t="s">
        <v>19</v>
      </c>
      <c r="G402" s="2">
        <v>45782</v>
      </c>
      <c r="H402" t="s">
        <v>112</v>
      </c>
      <c r="I402" t="s">
        <v>112</v>
      </c>
      <c r="J402">
        <v>7.2465000000000002</v>
      </c>
      <c r="K402" t="s">
        <v>113</v>
      </c>
      <c r="L402">
        <v>2</v>
      </c>
      <c r="M402">
        <v>7.3703000000000003</v>
      </c>
      <c r="N402">
        <v>-0.1238000000000001</v>
      </c>
      <c r="O402" s="3">
        <v>45782</v>
      </c>
    </row>
    <row r="403" spans="1:15" x14ac:dyDescent="0.25">
      <c r="A403" t="s">
        <v>110</v>
      </c>
      <c r="B403" t="s">
        <v>16</v>
      </c>
      <c r="C403">
        <v>784.41369166346431</v>
      </c>
      <c r="D403" t="s">
        <v>106</v>
      </c>
      <c r="E403" t="s">
        <v>111</v>
      </c>
      <c r="F403" t="s">
        <v>19</v>
      </c>
      <c r="G403" s="2">
        <v>45782</v>
      </c>
      <c r="H403" t="s">
        <v>112</v>
      </c>
      <c r="I403" t="s">
        <v>112</v>
      </c>
      <c r="J403">
        <v>7.2465000000000002</v>
      </c>
      <c r="K403" t="s">
        <v>113</v>
      </c>
      <c r="L403">
        <v>2</v>
      </c>
      <c r="M403">
        <v>7.3703000000000003</v>
      </c>
      <c r="N403">
        <v>-0.1238000000000001</v>
      </c>
      <c r="O403" s="3">
        <v>45782</v>
      </c>
    </row>
    <row r="404" spans="1:15" x14ac:dyDescent="0.25">
      <c r="A404" t="s">
        <v>110</v>
      </c>
      <c r="B404" t="s">
        <v>16</v>
      </c>
      <c r="C404">
        <v>60.896364099375013</v>
      </c>
      <c r="D404" t="s">
        <v>106</v>
      </c>
      <c r="E404" t="s">
        <v>111</v>
      </c>
      <c r="F404" t="s">
        <v>19</v>
      </c>
      <c r="G404" s="2">
        <v>45782</v>
      </c>
      <c r="H404" t="s">
        <v>112</v>
      </c>
      <c r="I404" t="s">
        <v>112</v>
      </c>
      <c r="J404">
        <v>7.2465000000000002</v>
      </c>
      <c r="K404" t="s">
        <v>113</v>
      </c>
      <c r="L404">
        <v>2</v>
      </c>
      <c r="M404">
        <v>7.3703000000000003</v>
      </c>
      <c r="N404">
        <v>-0.1238000000000001</v>
      </c>
      <c r="O404" s="3">
        <v>45782</v>
      </c>
    </row>
    <row r="405" spans="1:15" x14ac:dyDescent="0.25">
      <c r="A405" t="s">
        <v>110</v>
      </c>
      <c r="B405" t="s">
        <v>16</v>
      </c>
      <c r="C405">
        <v>57.551974760017849</v>
      </c>
      <c r="D405" t="s">
        <v>106</v>
      </c>
      <c r="E405" t="s">
        <v>111</v>
      </c>
      <c r="F405" t="s">
        <v>19</v>
      </c>
      <c r="G405" s="2">
        <v>45782</v>
      </c>
      <c r="H405" t="s">
        <v>112</v>
      </c>
      <c r="I405" t="s">
        <v>112</v>
      </c>
      <c r="J405">
        <v>7.2465000000000002</v>
      </c>
      <c r="K405" t="s">
        <v>113</v>
      </c>
      <c r="L405">
        <v>2</v>
      </c>
      <c r="M405">
        <v>7.3703000000000003</v>
      </c>
      <c r="N405">
        <v>-0.1238000000000001</v>
      </c>
      <c r="O405" s="3">
        <v>45782</v>
      </c>
    </row>
    <row r="406" spans="1:15" x14ac:dyDescent="0.25">
      <c r="A406" t="s">
        <v>110</v>
      </c>
      <c r="B406" t="s">
        <v>16</v>
      </c>
      <c r="C406">
        <v>57.386670233250001</v>
      </c>
      <c r="D406" t="s">
        <v>106</v>
      </c>
      <c r="E406" t="s">
        <v>111</v>
      </c>
      <c r="F406" t="s">
        <v>19</v>
      </c>
      <c r="G406" s="2">
        <v>45782</v>
      </c>
      <c r="H406" t="s">
        <v>112</v>
      </c>
      <c r="I406" t="s">
        <v>112</v>
      </c>
      <c r="J406">
        <v>7.2465000000000002</v>
      </c>
      <c r="K406" t="s">
        <v>113</v>
      </c>
      <c r="L406">
        <v>2</v>
      </c>
      <c r="M406">
        <v>7.3703000000000003</v>
      </c>
      <c r="N406">
        <v>-0.1238000000000001</v>
      </c>
      <c r="O406" s="3">
        <v>45782</v>
      </c>
    </row>
    <row r="407" spans="1:15" x14ac:dyDescent="0.25">
      <c r="A407" t="s">
        <v>110</v>
      </c>
      <c r="B407" t="s">
        <v>16</v>
      </c>
      <c r="C407">
        <v>59.672838147571433</v>
      </c>
      <c r="D407" t="s">
        <v>106</v>
      </c>
      <c r="E407" t="s">
        <v>111</v>
      </c>
      <c r="F407" t="s">
        <v>19</v>
      </c>
      <c r="G407" s="2">
        <v>45782</v>
      </c>
      <c r="H407" t="s">
        <v>112</v>
      </c>
      <c r="I407" t="s">
        <v>112</v>
      </c>
      <c r="J407">
        <v>7.2465000000000002</v>
      </c>
      <c r="K407" t="s">
        <v>113</v>
      </c>
      <c r="L407">
        <v>2</v>
      </c>
      <c r="M407">
        <v>7.3703000000000003</v>
      </c>
      <c r="N407">
        <v>-0.1238000000000001</v>
      </c>
      <c r="O407" s="3">
        <v>45782</v>
      </c>
    </row>
    <row r="408" spans="1:15" x14ac:dyDescent="0.25">
      <c r="A408" t="s">
        <v>110</v>
      </c>
      <c r="B408" t="s">
        <v>16</v>
      </c>
      <c r="C408">
        <v>63.459003253666673</v>
      </c>
      <c r="D408" t="s">
        <v>106</v>
      </c>
      <c r="E408" t="s">
        <v>111</v>
      </c>
      <c r="F408" t="s">
        <v>19</v>
      </c>
      <c r="G408" s="2">
        <v>45782</v>
      </c>
      <c r="H408" t="s">
        <v>112</v>
      </c>
      <c r="I408" t="s">
        <v>112</v>
      </c>
      <c r="J408">
        <v>7.2465000000000002</v>
      </c>
      <c r="K408" t="s">
        <v>113</v>
      </c>
      <c r="L408">
        <v>2</v>
      </c>
      <c r="M408">
        <v>7.3703000000000003</v>
      </c>
      <c r="N408">
        <v>-0.1238000000000001</v>
      </c>
      <c r="O408" s="3">
        <v>45782</v>
      </c>
    </row>
    <row r="409" spans="1:15" x14ac:dyDescent="0.25">
      <c r="A409" t="s">
        <v>110</v>
      </c>
      <c r="B409" t="s">
        <v>16</v>
      </c>
      <c r="C409">
        <v>63.169107578642858</v>
      </c>
      <c r="D409" t="s">
        <v>106</v>
      </c>
      <c r="E409" t="s">
        <v>111</v>
      </c>
      <c r="F409" t="s">
        <v>19</v>
      </c>
      <c r="G409" s="2">
        <v>45782</v>
      </c>
      <c r="H409" t="s">
        <v>112</v>
      </c>
      <c r="I409" t="s">
        <v>112</v>
      </c>
      <c r="J409">
        <v>7.2465000000000002</v>
      </c>
      <c r="K409" t="s">
        <v>113</v>
      </c>
      <c r="L409">
        <v>2</v>
      </c>
      <c r="M409">
        <v>7.3703000000000003</v>
      </c>
      <c r="N409">
        <v>-0.1238000000000001</v>
      </c>
      <c r="O409" s="3">
        <v>45782</v>
      </c>
    </row>
    <row r="410" spans="1:15" x14ac:dyDescent="0.25">
      <c r="A410" t="s">
        <v>110</v>
      </c>
      <c r="B410" t="s">
        <v>16</v>
      </c>
      <c r="C410">
        <v>60.716564174589287</v>
      </c>
      <c r="D410" t="s">
        <v>106</v>
      </c>
      <c r="E410" t="s">
        <v>111</v>
      </c>
      <c r="F410" t="s">
        <v>19</v>
      </c>
      <c r="G410" s="2">
        <v>45782</v>
      </c>
      <c r="H410" t="s">
        <v>112</v>
      </c>
      <c r="I410" t="s">
        <v>112</v>
      </c>
      <c r="J410">
        <v>7.2465000000000002</v>
      </c>
      <c r="K410" t="s">
        <v>113</v>
      </c>
      <c r="L410">
        <v>2</v>
      </c>
      <c r="M410">
        <v>7.3703000000000003</v>
      </c>
      <c r="N410">
        <v>-0.1238000000000001</v>
      </c>
      <c r="O410" s="3">
        <v>45782</v>
      </c>
    </row>
    <row r="411" spans="1:15" x14ac:dyDescent="0.25">
      <c r="A411" t="s">
        <v>105</v>
      </c>
      <c r="B411" t="s">
        <v>16</v>
      </c>
      <c r="C411">
        <v>39.891116761607137</v>
      </c>
      <c r="D411" t="s">
        <v>106</v>
      </c>
      <c r="E411" t="s">
        <v>107</v>
      </c>
      <c r="F411" t="s">
        <v>19</v>
      </c>
      <c r="G411" s="2">
        <v>45782</v>
      </c>
      <c r="H411" t="s">
        <v>108</v>
      </c>
      <c r="I411" t="s">
        <v>108</v>
      </c>
      <c r="J411">
        <v>6.9795999999999996</v>
      </c>
      <c r="K411" t="s">
        <v>109</v>
      </c>
      <c r="L411">
        <v>2</v>
      </c>
      <c r="M411">
        <v>7.3703000000000003</v>
      </c>
      <c r="N411">
        <v>-0.39070000000000071</v>
      </c>
      <c r="O411" s="3">
        <v>45782</v>
      </c>
    </row>
    <row r="412" spans="1:15" x14ac:dyDescent="0.25">
      <c r="A412" t="s">
        <v>105</v>
      </c>
      <c r="B412" t="s">
        <v>16</v>
      </c>
      <c r="C412">
        <v>39.076525604464287</v>
      </c>
      <c r="D412" t="s">
        <v>106</v>
      </c>
      <c r="E412" t="s">
        <v>107</v>
      </c>
      <c r="F412" t="s">
        <v>19</v>
      </c>
      <c r="G412" s="2">
        <v>45782</v>
      </c>
      <c r="H412" t="s">
        <v>108</v>
      </c>
      <c r="I412" t="s">
        <v>108</v>
      </c>
      <c r="J412">
        <v>6.9795999999999996</v>
      </c>
      <c r="K412" t="s">
        <v>109</v>
      </c>
      <c r="L412">
        <v>2</v>
      </c>
      <c r="M412">
        <v>7.3703000000000003</v>
      </c>
      <c r="N412">
        <v>-0.39070000000000071</v>
      </c>
      <c r="O412" s="3">
        <v>45782</v>
      </c>
    </row>
    <row r="413" spans="1:15" x14ac:dyDescent="0.25">
      <c r="A413" t="s">
        <v>105</v>
      </c>
      <c r="B413" t="s">
        <v>16</v>
      </c>
      <c r="C413">
        <v>39.687104382142863</v>
      </c>
      <c r="D413" t="s">
        <v>106</v>
      </c>
      <c r="E413" t="s">
        <v>107</v>
      </c>
      <c r="F413" t="s">
        <v>19</v>
      </c>
      <c r="G413" s="2">
        <v>45782</v>
      </c>
      <c r="H413" t="s">
        <v>108</v>
      </c>
      <c r="I413" t="s">
        <v>108</v>
      </c>
      <c r="J413">
        <v>6.9795999999999996</v>
      </c>
      <c r="K413" t="s">
        <v>109</v>
      </c>
      <c r="L413">
        <v>2</v>
      </c>
      <c r="M413">
        <v>7.3703000000000003</v>
      </c>
      <c r="N413">
        <v>-0.39070000000000071</v>
      </c>
      <c r="O413" s="3">
        <v>45782</v>
      </c>
    </row>
    <row r="414" spans="1:15" x14ac:dyDescent="0.25">
      <c r="A414" t="s">
        <v>110</v>
      </c>
      <c r="B414" t="s">
        <v>16</v>
      </c>
      <c r="C414">
        <v>3.4524513055714281</v>
      </c>
      <c r="D414" t="s">
        <v>106</v>
      </c>
      <c r="E414" t="s">
        <v>111</v>
      </c>
      <c r="F414" t="s">
        <v>19</v>
      </c>
      <c r="G414" s="2">
        <v>45782</v>
      </c>
      <c r="H414" t="s">
        <v>112</v>
      </c>
      <c r="I414" t="s">
        <v>112</v>
      </c>
      <c r="J414">
        <v>7.2465000000000002</v>
      </c>
      <c r="K414" t="s">
        <v>113</v>
      </c>
      <c r="L414">
        <v>2</v>
      </c>
      <c r="M414">
        <v>7.3703000000000003</v>
      </c>
      <c r="N414">
        <v>-0.1238000000000001</v>
      </c>
      <c r="O414" s="3">
        <v>45782</v>
      </c>
    </row>
    <row r="415" spans="1:15" x14ac:dyDescent="0.25">
      <c r="A415" t="s">
        <v>110</v>
      </c>
      <c r="B415" t="s">
        <v>16</v>
      </c>
      <c r="C415">
        <v>45.173526409011913</v>
      </c>
      <c r="D415" t="s">
        <v>106</v>
      </c>
      <c r="E415" t="s">
        <v>111</v>
      </c>
      <c r="F415" t="s">
        <v>19</v>
      </c>
      <c r="G415" s="2">
        <v>45782</v>
      </c>
      <c r="H415" t="s">
        <v>112</v>
      </c>
      <c r="I415" t="s">
        <v>112</v>
      </c>
      <c r="J415">
        <v>7.2465000000000002</v>
      </c>
      <c r="K415" t="s">
        <v>113</v>
      </c>
      <c r="L415">
        <v>2</v>
      </c>
      <c r="M415">
        <v>7.3703000000000003</v>
      </c>
      <c r="N415">
        <v>-0.1238000000000001</v>
      </c>
      <c r="O415" s="3">
        <v>45782</v>
      </c>
    </row>
    <row r="416" spans="1:15" x14ac:dyDescent="0.25">
      <c r="A416" t="s">
        <v>110</v>
      </c>
      <c r="B416" t="s">
        <v>16</v>
      </c>
      <c r="C416">
        <v>42.716824172821433</v>
      </c>
      <c r="D416" t="s">
        <v>106</v>
      </c>
      <c r="E416" t="s">
        <v>111</v>
      </c>
      <c r="F416" t="s">
        <v>19</v>
      </c>
      <c r="G416" s="2">
        <v>45782</v>
      </c>
      <c r="H416" t="s">
        <v>112</v>
      </c>
      <c r="I416" t="s">
        <v>112</v>
      </c>
      <c r="J416">
        <v>7.2465000000000002</v>
      </c>
      <c r="K416" t="s">
        <v>113</v>
      </c>
      <c r="L416">
        <v>2</v>
      </c>
      <c r="M416">
        <v>7.3703000000000003</v>
      </c>
      <c r="N416">
        <v>-0.1238000000000001</v>
      </c>
      <c r="O416" s="3">
        <v>45782</v>
      </c>
    </row>
    <row r="417" spans="1:15" x14ac:dyDescent="0.25">
      <c r="A417" t="s">
        <v>110</v>
      </c>
      <c r="B417" t="s">
        <v>16</v>
      </c>
      <c r="C417">
        <v>39.932296461208331</v>
      </c>
      <c r="D417" t="s">
        <v>106</v>
      </c>
      <c r="E417" t="s">
        <v>111</v>
      </c>
      <c r="F417" t="s">
        <v>19</v>
      </c>
      <c r="G417" s="2">
        <v>45782</v>
      </c>
      <c r="H417" t="s">
        <v>112</v>
      </c>
      <c r="I417" t="s">
        <v>112</v>
      </c>
      <c r="J417">
        <v>7.2465000000000002</v>
      </c>
      <c r="K417" t="s">
        <v>113</v>
      </c>
      <c r="L417">
        <v>2</v>
      </c>
      <c r="M417">
        <v>7.3703000000000003</v>
      </c>
      <c r="N417">
        <v>-0.1238000000000001</v>
      </c>
      <c r="O417" s="3">
        <v>45782</v>
      </c>
    </row>
    <row r="418" spans="1:15" x14ac:dyDescent="0.25">
      <c r="A418" t="s">
        <v>110</v>
      </c>
      <c r="B418" t="s">
        <v>16</v>
      </c>
      <c r="C418">
        <v>49.383240434821417</v>
      </c>
      <c r="D418" t="s">
        <v>106</v>
      </c>
      <c r="E418" t="s">
        <v>111</v>
      </c>
      <c r="F418" t="s">
        <v>19</v>
      </c>
      <c r="G418" s="2">
        <v>45782</v>
      </c>
      <c r="H418" t="s">
        <v>112</v>
      </c>
      <c r="I418" t="s">
        <v>112</v>
      </c>
      <c r="J418">
        <v>7.2465000000000002</v>
      </c>
      <c r="K418" t="s">
        <v>113</v>
      </c>
      <c r="L418">
        <v>2</v>
      </c>
      <c r="M418">
        <v>7.3703000000000003</v>
      </c>
      <c r="N418">
        <v>-0.1238000000000001</v>
      </c>
      <c r="O418" s="3">
        <v>45782</v>
      </c>
    </row>
    <row r="419" spans="1:15" x14ac:dyDescent="0.25">
      <c r="A419" t="s">
        <v>110</v>
      </c>
      <c r="B419" t="s">
        <v>16</v>
      </c>
      <c r="C419">
        <v>55.580401688166667</v>
      </c>
      <c r="D419" t="s">
        <v>106</v>
      </c>
      <c r="E419" t="s">
        <v>111</v>
      </c>
      <c r="F419" t="s">
        <v>19</v>
      </c>
      <c r="G419" s="2">
        <v>45782</v>
      </c>
      <c r="H419" t="s">
        <v>112</v>
      </c>
      <c r="I419" t="s">
        <v>112</v>
      </c>
      <c r="J419">
        <v>7.2465000000000002</v>
      </c>
      <c r="K419" t="s">
        <v>113</v>
      </c>
      <c r="L419">
        <v>2</v>
      </c>
      <c r="M419">
        <v>7.3703000000000003</v>
      </c>
      <c r="N419">
        <v>-0.1238000000000001</v>
      </c>
      <c r="O419" s="3">
        <v>45782</v>
      </c>
    </row>
    <row r="420" spans="1:15" x14ac:dyDescent="0.25">
      <c r="A420" t="s">
        <v>110</v>
      </c>
      <c r="B420" t="s">
        <v>16</v>
      </c>
      <c r="C420">
        <v>53.142550741071418</v>
      </c>
      <c r="D420" t="s">
        <v>106</v>
      </c>
      <c r="E420" t="s">
        <v>111</v>
      </c>
      <c r="F420" t="s">
        <v>19</v>
      </c>
      <c r="G420" s="2">
        <v>45782</v>
      </c>
      <c r="H420" t="s">
        <v>112</v>
      </c>
      <c r="I420" t="s">
        <v>112</v>
      </c>
      <c r="J420">
        <v>7.2465000000000002</v>
      </c>
      <c r="K420" t="s">
        <v>113</v>
      </c>
      <c r="L420">
        <v>2</v>
      </c>
      <c r="M420">
        <v>7.3703000000000003</v>
      </c>
      <c r="N420">
        <v>-0.1238000000000001</v>
      </c>
      <c r="O420" s="3">
        <v>45782</v>
      </c>
    </row>
    <row r="421" spans="1:15" x14ac:dyDescent="0.25">
      <c r="A421" t="s">
        <v>110</v>
      </c>
      <c r="B421" t="s">
        <v>16</v>
      </c>
      <c r="C421">
        <v>49.722306306291671</v>
      </c>
      <c r="D421" t="s">
        <v>106</v>
      </c>
      <c r="E421" t="s">
        <v>111</v>
      </c>
      <c r="F421" t="s">
        <v>19</v>
      </c>
      <c r="G421" s="2">
        <v>45782</v>
      </c>
      <c r="H421" t="s">
        <v>112</v>
      </c>
      <c r="I421" t="s">
        <v>112</v>
      </c>
      <c r="J421">
        <v>7.2465000000000002</v>
      </c>
      <c r="K421" t="s">
        <v>113</v>
      </c>
      <c r="L421">
        <v>2</v>
      </c>
      <c r="M421">
        <v>7.3703000000000003</v>
      </c>
      <c r="N421">
        <v>-0.1238000000000001</v>
      </c>
      <c r="O421" s="3">
        <v>45782</v>
      </c>
    </row>
    <row r="422" spans="1:15" x14ac:dyDescent="0.25">
      <c r="A422" t="s">
        <v>110</v>
      </c>
      <c r="B422" t="s">
        <v>16</v>
      </c>
      <c r="C422">
        <v>35.616240202922633</v>
      </c>
      <c r="D422" t="s">
        <v>106</v>
      </c>
      <c r="E422" t="s">
        <v>111</v>
      </c>
      <c r="F422" t="s">
        <v>19</v>
      </c>
      <c r="G422" s="2">
        <v>45782</v>
      </c>
      <c r="H422" t="s">
        <v>112</v>
      </c>
      <c r="I422" t="s">
        <v>112</v>
      </c>
      <c r="J422">
        <v>7.2465000000000002</v>
      </c>
      <c r="K422" t="s">
        <v>113</v>
      </c>
      <c r="L422">
        <v>2</v>
      </c>
      <c r="M422">
        <v>7.3703000000000003</v>
      </c>
      <c r="N422">
        <v>-0.1238000000000001</v>
      </c>
      <c r="O422" s="3">
        <v>45782</v>
      </c>
    </row>
    <row r="423" spans="1:15" x14ac:dyDescent="0.25">
      <c r="A423" t="s">
        <v>110</v>
      </c>
      <c r="B423" t="s">
        <v>16</v>
      </c>
      <c r="C423">
        <v>19.117951491821429</v>
      </c>
      <c r="D423" t="s">
        <v>106</v>
      </c>
      <c r="E423" t="s">
        <v>111</v>
      </c>
      <c r="F423" t="s">
        <v>19</v>
      </c>
      <c r="G423" s="2">
        <v>45782</v>
      </c>
      <c r="H423" t="s">
        <v>112</v>
      </c>
      <c r="I423" t="s">
        <v>112</v>
      </c>
      <c r="J423">
        <v>7.2465000000000002</v>
      </c>
      <c r="K423" t="s">
        <v>113</v>
      </c>
      <c r="L423">
        <v>2</v>
      </c>
      <c r="M423">
        <v>7.3703000000000003</v>
      </c>
      <c r="N423">
        <v>-0.1238000000000001</v>
      </c>
      <c r="O423" s="3">
        <v>45782</v>
      </c>
    </row>
    <row r="424" spans="1:15" x14ac:dyDescent="0.25">
      <c r="A424" t="s">
        <v>110</v>
      </c>
      <c r="B424" t="s">
        <v>16</v>
      </c>
      <c r="C424">
        <v>14.60576787814286</v>
      </c>
      <c r="D424" t="s">
        <v>106</v>
      </c>
      <c r="E424" t="s">
        <v>111</v>
      </c>
      <c r="F424" t="s">
        <v>19</v>
      </c>
      <c r="G424" s="2">
        <v>45782</v>
      </c>
      <c r="H424" t="s">
        <v>112</v>
      </c>
      <c r="I424" t="s">
        <v>112</v>
      </c>
      <c r="J424">
        <v>7.2465000000000002</v>
      </c>
      <c r="K424" t="s">
        <v>113</v>
      </c>
      <c r="L424">
        <v>2</v>
      </c>
      <c r="M424">
        <v>7.3703000000000003</v>
      </c>
      <c r="N424">
        <v>-0.1238000000000001</v>
      </c>
      <c r="O424" s="3">
        <v>45782</v>
      </c>
    </row>
    <row r="425" spans="1:15" x14ac:dyDescent="0.25">
      <c r="A425" t="s">
        <v>110</v>
      </c>
      <c r="B425" t="s">
        <v>16</v>
      </c>
      <c r="C425">
        <v>9.6372145702380934</v>
      </c>
      <c r="D425" t="s">
        <v>106</v>
      </c>
      <c r="E425" t="s">
        <v>111</v>
      </c>
      <c r="F425" t="s">
        <v>19</v>
      </c>
      <c r="G425" s="2">
        <v>45782</v>
      </c>
      <c r="H425" t="s">
        <v>112</v>
      </c>
      <c r="I425" t="s">
        <v>112</v>
      </c>
      <c r="J425">
        <v>7.2465000000000002</v>
      </c>
      <c r="K425" t="s">
        <v>113</v>
      </c>
      <c r="L425">
        <v>2</v>
      </c>
      <c r="M425">
        <v>7.3703000000000003</v>
      </c>
      <c r="N425">
        <v>-0.1238000000000001</v>
      </c>
      <c r="O425" s="3">
        <v>45782</v>
      </c>
    </row>
    <row r="426" spans="1:15" x14ac:dyDescent="0.25">
      <c r="A426" t="s">
        <v>110</v>
      </c>
      <c r="B426" t="s">
        <v>16</v>
      </c>
      <c r="C426">
        <v>24.69717052001786</v>
      </c>
      <c r="D426" t="s">
        <v>106</v>
      </c>
      <c r="E426" t="s">
        <v>111</v>
      </c>
      <c r="F426" t="s">
        <v>19</v>
      </c>
      <c r="G426" s="2">
        <v>45782</v>
      </c>
      <c r="H426" t="s">
        <v>112</v>
      </c>
      <c r="I426" t="s">
        <v>112</v>
      </c>
      <c r="J426">
        <v>7.2465000000000002</v>
      </c>
      <c r="K426" t="s">
        <v>113</v>
      </c>
      <c r="L426">
        <v>2</v>
      </c>
      <c r="M426">
        <v>7.3703000000000003</v>
      </c>
      <c r="N426">
        <v>-0.1238000000000001</v>
      </c>
      <c r="O426" s="3">
        <v>45782</v>
      </c>
    </row>
    <row r="427" spans="1:15" x14ac:dyDescent="0.25">
      <c r="A427" t="s">
        <v>110</v>
      </c>
      <c r="B427" t="s">
        <v>16</v>
      </c>
      <c r="C427">
        <v>32.331258385047612</v>
      </c>
      <c r="D427" t="s">
        <v>106</v>
      </c>
      <c r="E427" t="s">
        <v>111</v>
      </c>
      <c r="F427" t="s">
        <v>19</v>
      </c>
      <c r="G427" s="2">
        <v>45782</v>
      </c>
      <c r="H427" t="s">
        <v>112</v>
      </c>
      <c r="I427" t="s">
        <v>112</v>
      </c>
      <c r="J427">
        <v>7.2465000000000002</v>
      </c>
      <c r="K427" t="s">
        <v>113</v>
      </c>
      <c r="L427">
        <v>2</v>
      </c>
      <c r="M427">
        <v>7.3703000000000003</v>
      </c>
      <c r="N427">
        <v>-0.1238000000000001</v>
      </c>
      <c r="O427" s="3">
        <v>45782</v>
      </c>
    </row>
    <row r="428" spans="1:15" x14ac:dyDescent="0.25">
      <c r="A428" t="s">
        <v>110</v>
      </c>
      <c r="B428" t="s">
        <v>16</v>
      </c>
      <c r="C428">
        <v>29.125842433333339</v>
      </c>
      <c r="D428" t="s">
        <v>106</v>
      </c>
      <c r="E428" t="s">
        <v>111</v>
      </c>
      <c r="F428" t="s">
        <v>19</v>
      </c>
      <c r="G428" s="2">
        <v>45782</v>
      </c>
      <c r="H428" t="s">
        <v>112</v>
      </c>
      <c r="I428" t="s">
        <v>112</v>
      </c>
      <c r="J428">
        <v>7.2465000000000002</v>
      </c>
      <c r="K428" t="s">
        <v>113</v>
      </c>
      <c r="L428">
        <v>2</v>
      </c>
      <c r="M428">
        <v>7.3703000000000003</v>
      </c>
      <c r="N428">
        <v>-0.1238000000000001</v>
      </c>
      <c r="O428" s="3">
        <v>45782</v>
      </c>
    </row>
    <row r="429" spans="1:15" x14ac:dyDescent="0.25">
      <c r="A429" t="s">
        <v>105</v>
      </c>
      <c r="B429" t="s">
        <v>16</v>
      </c>
      <c r="C429">
        <v>35.626135513392853</v>
      </c>
      <c r="D429" t="s">
        <v>106</v>
      </c>
      <c r="E429" t="s">
        <v>107</v>
      </c>
      <c r="F429" t="s">
        <v>19</v>
      </c>
      <c r="G429" s="2">
        <v>45782</v>
      </c>
      <c r="H429" t="s">
        <v>108</v>
      </c>
      <c r="I429" t="s">
        <v>108</v>
      </c>
      <c r="J429">
        <v>6.9795999999999996</v>
      </c>
      <c r="K429" t="s">
        <v>109</v>
      </c>
      <c r="L429">
        <v>2</v>
      </c>
      <c r="M429">
        <v>7.3703000000000003</v>
      </c>
      <c r="N429">
        <v>-0.39070000000000071</v>
      </c>
      <c r="O429" s="3">
        <v>45782</v>
      </c>
    </row>
    <row r="430" spans="1:15" x14ac:dyDescent="0.25">
      <c r="A430" t="s">
        <v>105</v>
      </c>
      <c r="B430" t="s">
        <v>16</v>
      </c>
      <c r="C430">
        <v>35.070088642857151</v>
      </c>
      <c r="D430" t="s">
        <v>106</v>
      </c>
      <c r="E430" t="s">
        <v>107</v>
      </c>
      <c r="F430" t="s">
        <v>19</v>
      </c>
      <c r="G430" s="2">
        <v>45782</v>
      </c>
      <c r="H430" t="s">
        <v>108</v>
      </c>
      <c r="I430" t="s">
        <v>108</v>
      </c>
      <c r="J430">
        <v>6.9795999999999996</v>
      </c>
      <c r="K430" t="s">
        <v>109</v>
      </c>
      <c r="L430">
        <v>2</v>
      </c>
      <c r="M430">
        <v>7.3703000000000003</v>
      </c>
      <c r="N430">
        <v>-0.39070000000000071</v>
      </c>
      <c r="O430" s="3">
        <v>45782</v>
      </c>
    </row>
    <row r="431" spans="1:15" x14ac:dyDescent="0.25">
      <c r="A431" t="s">
        <v>105</v>
      </c>
      <c r="B431" t="s">
        <v>16</v>
      </c>
      <c r="C431">
        <v>36.371943508928567</v>
      </c>
      <c r="D431" t="s">
        <v>106</v>
      </c>
      <c r="E431" t="s">
        <v>107</v>
      </c>
      <c r="F431" t="s">
        <v>19</v>
      </c>
      <c r="G431" s="2">
        <v>45782</v>
      </c>
      <c r="H431" t="s">
        <v>108</v>
      </c>
      <c r="I431" t="s">
        <v>108</v>
      </c>
      <c r="J431">
        <v>6.9795999999999996</v>
      </c>
      <c r="K431" t="s">
        <v>109</v>
      </c>
      <c r="L431">
        <v>2</v>
      </c>
      <c r="M431">
        <v>7.3703000000000003</v>
      </c>
      <c r="N431">
        <v>-0.39070000000000071</v>
      </c>
      <c r="O431" s="3">
        <v>45782</v>
      </c>
    </row>
    <row r="432" spans="1:15" x14ac:dyDescent="0.25">
      <c r="A432" t="s">
        <v>105</v>
      </c>
      <c r="B432" t="s">
        <v>16</v>
      </c>
      <c r="C432">
        <v>33.324674682142863</v>
      </c>
      <c r="D432" t="s">
        <v>106</v>
      </c>
      <c r="E432" t="s">
        <v>107</v>
      </c>
      <c r="F432" t="s">
        <v>19</v>
      </c>
      <c r="G432" s="2">
        <v>45782</v>
      </c>
      <c r="H432" t="s">
        <v>108</v>
      </c>
      <c r="I432" t="s">
        <v>108</v>
      </c>
      <c r="J432">
        <v>6.9795999999999996</v>
      </c>
      <c r="K432" t="s">
        <v>109</v>
      </c>
      <c r="L432">
        <v>2</v>
      </c>
      <c r="M432">
        <v>7.3703000000000003</v>
      </c>
      <c r="N432">
        <v>-0.39070000000000071</v>
      </c>
      <c r="O432" s="3">
        <v>45782</v>
      </c>
    </row>
    <row r="433" spans="1:15" x14ac:dyDescent="0.25">
      <c r="A433" t="s">
        <v>105</v>
      </c>
      <c r="B433" t="s">
        <v>16</v>
      </c>
      <c r="C433">
        <v>31.619361144642859</v>
      </c>
      <c r="D433" t="s">
        <v>106</v>
      </c>
      <c r="E433" t="s">
        <v>107</v>
      </c>
      <c r="F433" t="s">
        <v>19</v>
      </c>
      <c r="G433" s="2">
        <v>45782</v>
      </c>
      <c r="H433" t="s">
        <v>108</v>
      </c>
      <c r="I433" t="s">
        <v>108</v>
      </c>
      <c r="J433">
        <v>6.9795999999999996</v>
      </c>
      <c r="K433" t="s">
        <v>109</v>
      </c>
      <c r="L433">
        <v>2</v>
      </c>
      <c r="M433">
        <v>7.3703000000000003</v>
      </c>
      <c r="N433">
        <v>-0.39070000000000071</v>
      </c>
      <c r="O433" s="3">
        <v>45782</v>
      </c>
    </row>
    <row r="434" spans="1:15" x14ac:dyDescent="0.25">
      <c r="A434" t="s">
        <v>105</v>
      </c>
      <c r="B434" t="s">
        <v>16</v>
      </c>
      <c r="C434">
        <v>34.117457503571437</v>
      </c>
      <c r="D434" t="s">
        <v>106</v>
      </c>
      <c r="E434" t="s">
        <v>107</v>
      </c>
      <c r="F434" t="s">
        <v>19</v>
      </c>
      <c r="G434" s="2">
        <v>45782</v>
      </c>
      <c r="H434" t="s">
        <v>108</v>
      </c>
      <c r="I434" t="s">
        <v>108</v>
      </c>
      <c r="J434">
        <v>6.9795999999999996</v>
      </c>
      <c r="K434" t="s">
        <v>109</v>
      </c>
      <c r="L434">
        <v>2</v>
      </c>
      <c r="M434">
        <v>7.3703000000000003</v>
      </c>
      <c r="N434">
        <v>-0.39070000000000071</v>
      </c>
      <c r="O434" s="3">
        <v>45782</v>
      </c>
    </row>
    <row r="435" spans="1:15" x14ac:dyDescent="0.25">
      <c r="A435" t="s">
        <v>105</v>
      </c>
      <c r="B435" t="s">
        <v>16</v>
      </c>
      <c r="C435">
        <v>38.56063083392857</v>
      </c>
      <c r="D435" t="s">
        <v>106</v>
      </c>
      <c r="E435" t="s">
        <v>107</v>
      </c>
      <c r="F435" t="s">
        <v>19</v>
      </c>
      <c r="G435" s="2">
        <v>45782</v>
      </c>
      <c r="H435" t="s">
        <v>108</v>
      </c>
      <c r="I435" t="s">
        <v>108</v>
      </c>
      <c r="J435">
        <v>6.9795999999999996</v>
      </c>
      <c r="K435" t="s">
        <v>109</v>
      </c>
      <c r="L435">
        <v>2</v>
      </c>
      <c r="M435">
        <v>7.3703000000000003</v>
      </c>
      <c r="N435">
        <v>-0.39070000000000071</v>
      </c>
      <c r="O435" s="3">
        <v>45782</v>
      </c>
    </row>
    <row r="436" spans="1:15" x14ac:dyDescent="0.25">
      <c r="A436" t="s">
        <v>105</v>
      </c>
      <c r="B436" t="s">
        <v>16</v>
      </c>
      <c r="C436">
        <v>39.462972042857139</v>
      </c>
      <c r="D436" t="s">
        <v>106</v>
      </c>
      <c r="E436" t="s">
        <v>107</v>
      </c>
      <c r="F436" t="s">
        <v>19</v>
      </c>
      <c r="G436" s="2">
        <v>45782</v>
      </c>
      <c r="H436" t="s">
        <v>108</v>
      </c>
      <c r="I436" t="s">
        <v>108</v>
      </c>
      <c r="J436">
        <v>6.9795999999999996</v>
      </c>
      <c r="K436" t="s">
        <v>109</v>
      </c>
      <c r="L436">
        <v>2</v>
      </c>
      <c r="M436">
        <v>7.3703000000000003</v>
      </c>
      <c r="N436">
        <v>-0.39070000000000071</v>
      </c>
      <c r="O436" s="3">
        <v>45782</v>
      </c>
    </row>
    <row r="437" spans="1:15" x14ac:dyDescent="0.25">
      <c r="A437" t="s">
        <v>105</v>
      </c>
      <c r="B437" t="s">
        <v>16</v>
      </c>
      <c r="C437">
        <v>39.487439497321432</v>
      </c>
      <c r="D437" t="s">
        <v>106</v>
      </c>
      <c r="E437" t="s">
        <v>107</v>
      </c>
      <c r="F437" t="s">
        <v>19</v>
      </c>
      <c r="G437" s="2">
        <v>45782</v>
      </c>
      <c r="H437" t="s">
        <v>108</v>
      </c>
      <c r="I437" t="s">
        <v>108</v>
      </c>
      <c r="J437">
        <v>6.9795999999999996</v>
      </c>
      <c r="K437" t="s">
        <v>109</v>
      </c>
      <c r="L437">
        <v>2</v>
      </c>
      <c r="M437">
        <v>7.3703000000000003</v>
      </c>
      <c r="N437">
        <v>-0.39070000000000071</v>
      </c>
      <c r="O437" s="3">
        <v>45782</v>
      </c>
    </row>
    <row r="438" spans="1:15" x14ac:dyDescent="0.25">
      <c r="A438" t="s">
        <v>105</v>
      </c>
      <c r="B438" t="s">
        <v>16</v>
      </c>
      <c r="C438">
        <v>37.902368487499999</v>
      </c>
      <c r="D438" t="s">
        <v>106</v>
      </c>
      <c r="E438" t="s">
        <v>107</v>
      </c>
      <c r="F438" t="s">
        <v>19</v>
      </c>
      <c r="G438" s="2">
        <v>45782</v>
      </c>
      <c r="H438" t="s">
        <v>108</v>
      </c>
      <c r="I438" t="s">
        <v>108</v>
      </c>
      <c r="J438">
        <v>6.9795999999999996</v>
      </c>
      <c r="K438" t="s">
        <v>109</v>
      </c>
      <c r="L438">
        <v>2</v>
      </c>
      <c r="M438">
        <v>7.3703000000000003</v>
      </c>
      <c r="N438">
        <v>-0.39070000000000071</v>
      </c>
      <c r="O438" s="3">
        <v>45782</v>
      </c>
    </row>
    <row r="439" spans="1:15" x14ac:dyDescent="0.25">
      <c r="A439" t="s">
        <v>105</v>
      </c>
      <c r="B439" t="s">
        <v>16</v>
      </c>
      <c r="C439">
        <v>36.113447675000003</v>
      </c>
      <c r="D439" t="s">
        <v>106</v>
      </c>
      <c r="E439" t="s">
        <v>107</v>
      </c>
      <c r="F439" t="s">
        <v>19</v>
      </c>
      <c r="G439" s="2">
        <v>45782</v>
      </c>
      <c r="H439" t="s">
        <v>108</v>
      </c>
      <c r="I439" t="s">
        <v>108</v>
      </c>
      <c r="J439">
        <v>6.9795999999999996</v>
      </c>
      <c r="K439" t="s">
        <v>109</v>
      </c>
      <c r="L439">
        <v>2</v>
      </c>
      <c r="M439">
        <v>7.3703000000000003</v>
      </c>
      <c r="N439">
        <v>-0.39070000000000071</v>
      </c>
      <c r="O439" s="3">
        <v>45782</v>
      </c>
    </row>
    <row r="440" spans="1:15" x14ac:dyDescent="0.25">
      <c r="A440" t="s">
        <v>105</v>
      </c>
      <c r="B440" t="s">
        <v>16</v>
      </c>
      <c r="C440">
        <v>37.469418606250002</v>
      </c>
      <c r="D440" t="s">
        <v>106</v>
      </c>
      <c r="E440" t="s">
        <v>107</v>
      </c>
      <c r="F440" t="s">
        <v>19</v>
      </c>
      <c r="G440" s="2">
        <v>45782</v>
      </c>
      <c r="H440" t="s">
        <v>108</v>
      </c>
      <c r="I440" t="s">
        <v>108</v>
      </c>
      <c r="J440">
        <v>6.9795999999999996</v>
      </c>
      <c r="K440" t="s">
        <v>109</v>
      </c>
      <c r="L440">
        <v>2</v>
      </c>
      <c r="M440">
        <v>7.3703000000000003</v>
      </c>
      <c r="N440">
        <v>-0.39070000000000071</v>
      </c>
      <c r="O440" s="3">
        <v>45782</v>
      </c>
    </row>
  </sheetData>
  <autoFilter ref="A1:O440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Planilha1</vt:lpstr>
      <vt:lpstr>Planilha2</vt:lpstr>
      <vt:lpstr>Planilha5</vt:lpstr>
      <vt:lpstr>Planilha3</vt:lpstr>
      <vt:lpstr>Planilha4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Emanuel Gandra Almeida Duque Cabral</cp:lastModifiedBy>
  <dcterms:created xsi:type="dcterms:W3CDTF">2025-05-06T21:59:20Z</dcterms:created>
  <dcterms:modified xsi:type="dcterms:W3CDTF">2025-05-07T02:37:24Z</dcterms:modified>
</cp:coreProperties>
</file>